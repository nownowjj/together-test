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021컴활1급\스프레드시트\모의고사\"/>
    </mc:Choice>
  </mc:AlternateContent>
  <xr:revisionPtr revIDLastSave="0" documentId="13_ncr:1_{8109DC22-1F32-43D3-AA81-B06C9ECCD654}" xr6:coauthVersionLast="46" xr6:coauthVersionMax="46" xr10:uidLastSave="{00000000-0000-0000-0000-000000000000}"/>
  <bookViews>
    <workbookView minimized="1" xWindow="345" yWindow="705" windowWidth="21585" windowHeight="15240" firstSheet="3" activeTab="6" xr2:uid="{00000000-000D-0000-FFFF-FFFF00000000}"/>
  </bookViews>
  <sheets>
    <sheet name="기본작업-1" sheetId="2" r:id="rId1"/>
    <sheet name="기본작업-2" sheetId="10" r:id="rId2"/>
    <sheet name="계산작업" sheetId="3" r:id="rId3"/>
    <sheet name="분석작업-1" sheetId="8" r:id="rId4"/>
    <sheet name="분석작업-2" sheetId="9" r:id="rId5"/>
    <sheet name="기타작업-1" sheetId="6" r:id="rId6"/>
    <sheet name="기타작업-2" sheetId="4" r:id="rId7"/>
    <sheet name="기타작업-3" sheetId="7" r:id="rId8"/>
  </sheets>
  <definedNames>
    <definedName name="_xlnm.Print_Area" localSheetId="6">'기타작업-2'!$A$1:$I$30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2" l="1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12" i="6" l="1"/>
  <c r="I11" i="6"/>
  <c r="I10" i="6"/>
  <c r="I9" i="6"/>
  <c r="I8" i="6"/>
  <c r="I7" i="6"/>
  <c r="I6" i="6"/>
  <c r="I5" i="6"/>
  <c r="I4" i="6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</calcChain>
</file>

<file path=xl/sharedStrings.xml><?xml version="1.0" encoding="utf-8"?>
<sst xmlns="http://schemas.openxmlformats.org/spreadsheetml/2006/main" count="486" uniqueCount="159">
  <si>
    <t>직위별 정보화 결과</t>
    <phoneticPr fontId="4" type="noConversion"/>
  </si>
  <si>
    <t>사번</t>
  </si>
  <si>
    <t>사원명</t>
    <phoneticPr fontId="4" type="noConversion"/>
  </si>
  <si>
    <t>부서</t>
  </si>
  <si>
    <t>직위</t>
  </si>
  <si>
    <t>정보화능력</t>
    <phoneticPr fontId="4" type="noConversion"/>
  </si>
  <si>
    <t>엑셀</t>
    <phoneticPr fontId="4" type="noConversion"/>
  </si>
  <si>
    <t>파워포인트</t>
    <phoneticPr fontId="4" type="noConversion"/>
  </si>
  <si>
    <t>인터넷</t>
    <phoneticPr fontId="4" type="noConversion"/>
  </si>
  <si>
    <t>총점</t>
  </si>
  <si>
    <t>BA-012</t>
  </si>
  <si>
    <t>김양현</t>
  </si>
  <si>
    <t>관리과</t>
  </si>
  <si>
    <t>과장</t>
  </si>
  <si>
    <t>BA-013</t>
  </si>
  <si>
    <t>김이란</t>
    <phoneticPr fontId="4" type="noConversion"/>
  </si>
  <si>
    <t>대리</t>
  </si>
  <si>
    <t>SA-035</t>
  </si>
  <si>
    <t>김영희</t>
  </si>
  <si>
    <t>홍보팀</t>
  </si>
  <si>
    <t>SA-034</t>
  </si>
  <si>
    <t>김환식</t>
  </si>
  <si>
    <t>SA-002</t>
  </si>
  <si>
    <t>김기상</t>
  </si>
  <si>
    <t>기획실</t>
  </si>
  <si>
    <t>SA-010</t>
  </si>
  <si>
    <t>김수지</t>
    <phoneticPr fontId="4" type="noConversion"/>
  </si>
  <si>
    <t>BA-009</t>
  </si>
  <si>
    <t>김영득</t>
  </si>
  <si>
    <t>SA-003</t>
  </si>
  <si>
    <t>김원평</t>
  </si>
  <si>
    <t>BA-006</t>
  </si>
  <si>
    <t>김한응</t>
  </si>
  <si>
    <t>BA-038</t>
  </si>
  <si>
    <t>강광일</t>
  </si>
  <si>
    <t>사무처</t>
  </si>
  <si>
    <t>SA-031</t>
  </si>
  <si>
    <t>김나영</t>
  </si>
  <si>
    <t>BA-031</t>
  </si>
  <si>
    <t>김석하</t>
  </si>
  <si>
    <t>SA-032</t>
  </si>
  <si>
    <t>김정은</t>
  </si>
  <si>
    <t>BA-033</t>
  </si>
  <si>
    <t>김종란</t>
  </si>
  <si>
    <t>[표1]</t>
    <phoneticPr fontId="4" type="noConversion"/>
  </si>
  <si>
    <t>[표3]</t>
    <phoneticPr fontId="4" type="noConversion"/>
  </si>
  <si>
    <t>부서</t>
    <phoneticPr fontId="4" type="noConversion"/>
  </si>
  <si>
    <t>정보화능력 합계</t>
    <phoneticPr fontId="4" type="noConversion"/>
  </si>
  <si>
    <t>인원수</t>
    <phoneticPr fontId="4" type="noConversion"/>
  </si>
  <si>
    <t xml:space="preserve">       직위
부서</t>
    <phoneticPr fontId="4" type="noConversion"/>
  </si>
  <si>
    <t>사원</t>
    <phoneticPr fontId="4" type="noConversion"/>
  </si>
  <si>
    <t>대리</t>
    <phoneticPr fontId="4" type="noConversion"/>
  </si>
  <si>
    <t>과장</t>
    <phoneticPr fontId="4" type="noConversion"/>
  </si>
  <si>
    <t>부장</t>
    <phoneticPr fontId="4" type="noConversion"/>
  </si>
  <si>
    <t>홍보팀</t>
    <phoneticPr fontId="4" type="noConversion"/>
  </si>
  <si>
    <t>사무처</t>
    <phoneticPr fontId="4" type="noConversion"/>
  </si>
  <si>
    <t>기획실</t>
    <phoneticPr fontId="4" type="noConversion"/>
  </si>
  <si>
    <t>기획실</t>
    <phoneticPr fontId="4" type="noConversion"/>
  </si>
  <si>
    <t>관리과</t>
    <phoneticPr fontId="4" type="noConversion"/>
  </si>
  <si>
    <t>관리과</t>
    <phoneticPr fontId="4" type="noConversion"/>
  </si>
  <si>
    <t>[표2]</t>
    <phoneticPr fontId="4" type="noConversion"/>
  </si>
  <si>
    <t>구분</t>
    <phoneticPr fontId="4" type="noConversion"/>
  </si>
  <si>
    <t>정보화능력</t>
    <phoneticPr fontId="4" type="noConversion"/>
  </si>
  <si>
    <t>엑셀</t>
    <phoneticPr fontId="4" type="noConversion"/>
  </si>
  <si>
    <t>파워포인트</t>
    <phoneticPr fontId="4" type="noConversion"/>
  </si>
  <si>
    <t>인터넷</t>
    <phoneticPr fontId="4" type="noConversion"/>
  </si>
  <si>
    <t>가중치</t>
    <phoneticPr fontId="4" type="noConversion"/>
  </si>
  <si>
    <t>[표4]</t>
    <phoneticPr fontId="4" type="noConversion"/>
  </si>
  <si>
    <t>사원명</t>
    <phoneticPr fontId="4" type="noConversion"/>
  </si>
  <si>
    <t>직위</t>
    <phoneticPr fontId="4" type="noConversion"/>
  </si>
  <si>
    <t>엑셀</t>
    <phoneticPr fontId="4" type="noConversion"/>
  </si>
  <si>
    <t>출석현황</t>
    <phoneticPr fontId="4" type="noConversion"/>
  </si>
  <si>
    <t>평균점수</t>
    <phoneticPr fontId="4" type="noConversion"/>
  </si>
  <si>
    <t>평가</t>
    <phoneticPr fontId="4" type="noConversion"/>
  </si>
  <si>
    <t>대리</t>
    <phoneticPr fontId="4" type="noConversion"/>
  </si>
  <si>
    <t>결석없음</t>
    <phoneticPr fontId="4" type="noConversion"/>
  </si>
  <si>
    <t>방극준</t>
  </si>
  <si>
    <t>부장</t>
  </si>
  <si>
    <t>김원섭</t>
  </si>
  <si>
    <t>홍보팀</t>
    <phoneticPr fontId="4" type="noConversion"/>
  </si>
  <si>
    <t>도충선</t>
    <phoneticPr fontId="4" type="noConversion"/>
  </si>
  <si>
    <t>결석없음</t>
    <phoneticPr fontId="4" type="noConversion"/>
  </si>
  <si>
    <t>김충희</t>
  </si>
  <si>
    <t>대리</t>
    <phoneticPr fontId="4" type="noConversion"/>
  </si>
  <si>
    <t>유제관</t>
  </si>
  <si>
    <t>사원</t>
    <phoneticPr fontId="4" type="noConversion"/>
  </si>
  <si>
    <t>김병열</t>
  </si>
  <si>
    <t>사원</t>
    <phoneticPr fontId="4" type="noConversion"/>
  </si>
  <si>
    <t>김이란</t>
    <phoneticPr fontId="4" type="noConversion"/>
  </si>
  <si>
    <t>백준걸</t>
  </si>
  <si>
    <t>사무처</t>
    <phoneticPr fontId="4" type="noConversion"/>
  </si>
  <si>
    <t>안기순</t>
  </si>
  <si>
    <t>과장</t>
    <phoneticPr fontId="4" type="noConversion"/>
  </si>
  <si>
    <t>김태정</t>
  </si>
  <si>
    <t>유응구</t>
  </si>
  <si>
    <t>유근선</t>
  </si>
  <si>
    <t>김형섭</t>
  </si>
  <si>
    <t>양정회</t>
  </si>
  <si>
    <t>이영훈</t>
  </si>
  <si>
    <t>부서</t>
    <phoneticPr fontId="4" type="noConversion"/>
  </si>
  <si>
    <t>사원명</t>
    <phoneticPr fontId="4" type="noConversion"/>
  </si>
  <si>
    <t>직위</t>
    <phoneticPr fontId="4" type="noConversion"/>
  </si>
  <si>
    <t>정보화능력</t>
    <phoneticPr fontId="4" type="noConversion"/>
  </si>
  <si>
    <t>엑셀</t>
    <phoneticPr fontId="4" type="noConversion"/>
  </si>
  <si>
    <t>파워포인트</t>
    <phoneticPr fontId="4" type="noConversion"/>
  </si>
  <si>
    <t>인터넷</t>
    <phoneticPr fontId="4" type="noConversion"/>
  </si>
  <si>
    <t>출석현황</t>
    <phoneticPr fontId="4" type="noConversion"/>
  </si>
  <si>
    <t>기획실</t>
    <phoneticPr fontId="4" type="noConversion"/>
  </si>
  <si>
    <t>대리</t>
    <phoneticPr fontId="4" type="noConversion"/>
  </si>
  <si>
    <t>결석없음</t>
    <phoneticPr fontId="4" type="noConversion"/>
  </si>
  <si>
    <t>관리과</t>
    <phoneticPr fontId="4" type="noConversion"/>
  </si>
  <si>
    <t>도충선</t>
    <phoneticPr fontId="4" type="noConversion"/>
  </si>
  <si>
    <t>김수지</t>
    <phoneticPr fontId="4" type="noConversion"/>
  </si>
  <si>
    <t>과장</t>
    <phoneticPr fontId="4" type="noConversion"/>
  </si>
  <si>
    <t>사무처</t>
    <phoneticPr fontId="4" type="noConversion"/>
  </si>
  <si>
    <t>관리과</t>
    <phoneticPr fontId="4" type="noConversion"/>
  </si>
  <si>
    <t>사원</t>
    <phoneticPr fontId="4" type="noConversion"/>
  </si>
  <si>
    <t>홍보팀</t>
    <phoneticPr fontId="4" type="noConversion"/>
  </si>
  <si>
    <t>사원</t>
    <phoneticPr fontId="4" type="noConversion"/>
  </si>
  <si>
    <t>김이란</t>
    <phoneticPr fontId="4" type="noConversion"/>
  </si>
  <si>
    <t>사원별 정보화 능력 평가</t>
    <phoneticPr fontId="4" type="noConversion"/>
  </si>
  <si>
    <t>사원명</t>
    <phoneticPr fontId="4" type="noConversion"/>
  </si>
  <si>
    <t>파워포인트</t>
    <phoneticPr fontId="4" type="noConversion"/>
  </si>
  <si>
    <t>합계</t>
    <phoneticPr fontId="4" type="noConversion"/>
  </si>
  <si>
    <t>사원명</t>
    <phoneticPr fontId="4" type="noConversion"/>
  </si>
  <si>
    <t>사번</t>
    <phoneticPr fontId="4" type="noConversion"/>
  </si>
  <si>
    <t>평균점수</t>
    <phoneticPr fontId="4" type="noConversion"/>
  </si>
  <si>
    <t>최병기</t>
    <phoneticPr fontId="4" type="noConversion"/>
  </si>
  <si>
    <t>SA-029</t>
  </si>
  <si>
    <t>BA-035</t>
  </si>
  <si>
    <t>최일목</t>
  </si>
  <si>
    <t>BA-004</t>
  </si>
  <si>
    <t>도충선</t>
  </si>
  <si>
    <t>SA-007</t>
  </si>
  <si>
    <t>김재근</t>
    <phoneticPr fontId="4" type="noConversion"/>
  </si>
  <si>
    <t>SA-009</t>
  </si>
  <si>
    <t>1.1 고급필터</t>
    <phoneticPr fontId="1" type="noConversion"/>
  </si>
  <si>
    <t>직위가 과장이면서 총점이 300점 이상</t>
    <phoneticPr fontId="1" type="noConversion"/>
  </si>
  <si>
    <t xml:space="preserve"> 조건 B19:B20 / 결과 : B23</t>
    <phoneticPr fontId="1" type="noConversion"/>
  </si>
  <si>
    <t>1.2 조건부서식</t>
    <phoneticPr fontId="1" type="noConversion"/>
  </si>
  <si>
    <t>직위가 대리이고 총점이 300점 이상</t>
    <phoneticPr fontId="1" type="noConversion"/>
  </si>
  <si>
    <t xml:space="preserve"> 글꼴 스타일은 굵은 기울임꼴 글꼴 색은 표준 색 - 빨강</t>
    <phoneticPr fontId="1" type="noConversion"/>
  </si>
  <si>
    <t>⑤ 직위가 사원이고 정보화능력이 80이상이거나 직위가 대리이고 정보화능력이 85 이상이면</t>
    <phoneticPr fontId="1" type="noConversion"/>
  </si>
  <si>
    <t xml:space="preserve">    '우수사원', 그 이외에는 공백</t>
    <phoneticPr fontId="1" type="noConversion"/>
  </si>
  <si>
    <t>IF</t>
    <phoneticPr fontId="1" type="noConversion"/>
  </si>
  <si>
    <t>End Function</t>
    <phoneticPr fontId="1" type="noConversion"/>
  </si>
  <si>
    <t>Public Function fn평가(직위, 정보화능력)</t>
    <phoneticPr fontId="1" type="noConversion"/>
  </si>
  <si>
    <t>&lt;사원평가.accdb&gt;의 &lt;사원평가&gt; 테이블</t>
    <phoneticPr fontId="1" type="noConversion"/>
  </si>
  <si>
    <t>직위, 부서, 정보화능력, 엑셀, 파워포인트, 인터넷, B3</t>
    <phoneticPr fontId="1" type="noConversion"/>
  </si>
  <si>
    <t>① 행과 열을 전환한 후, 정보화능력이 차트에 표시되지 않도록 우너본 데이터를 수정하시오.</t>
    <phoneticPr fontId="1" type="noConversion"/>
  </si>
  <si>
    <t>② 합계 데이터 계열의 차트 종류를 표식이 있는 꺾은선형으로 변경한 후 보조 축으로 지정하시오</t>
    <phoneticPr fontId="1" type="noConversion"/>
  </si>
  <si>
    <t>③ 엑셀 계열에 선형 추세선을 추가하시오</t>
    <phoneticPr fontId="1" type="noConversion"/>
  </si>
  <si>
    <t>④ 차트 제목을 '기획실 정보화 평가'로 지정하고 글꼴 크기는 15로 지정하시오.</t>
    <phoneticPr fontId="1" type="noConversion"/>
  </si>
  <si>
    <t>⑤ '오각형'을 추가한 후 그림과 같이 표시되도록 설정하시오.</t>
    <phoneticPr fontId="1" type="noConversion"/>
  </si>
  <si>
    <t>② 개인별 성적 평균점수를 계산</t>
    <phoneticPr fontId="1" type="noConversion"/>
  </si>
  <si>
    <t xml:space="preserve">    평균점수는 각 과정의 성적에 과정별 가중치를 곱한 값들의 합</t>
    <phoneticPr fontId="1" type="noConversion"/>
  </si>
  <si>
    <t xml:space="preserve">    과정별 과중치는 표2 참조</t>
    <phoneticPr fontId="1" type="noConversion"/>
  </si>
  <si>
    <t xml:space="preserve">    단, 출석현황이 문자가 입력된 경우 : 평균점수를 표시하고, 출석현황에 숫자가 입력된 경우 점수 -10</t>
    <phoneticPr fontId="1" type="noConversion"/>
  </si>
  <si>
    <t xml:space="preserve">    IF, ISERROR, VALUE SUMPRODUCT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</si>
</sst>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[Red][&lt;=60]0;[Blue][&gt;=90]0;0"/>
  </numFmts>
  <fonts count="1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2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2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rgb="FF7030A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34998626667073579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0" fontId="11" fillId="0" borderId="0"/>
    <xf numFmtId="0" fontId="11" fillId="0" borderId="0"/>
  </cellStyleXfs>
  <cellXfs count="45">
    <xf numFmtId="0" fontId="0" fillId="0" borderId="0" xfId="0">
      <alignment vertical="center"/>
    </xf>
    <xf numFmtId="0" fontId="5" fillId="0" borderId="0" xfId="0" applyFont="1" applyAlignment="1">
      <alignment vertical="center"/>
    </xf>
    <xf numFmtId="0" fontId="7" fillId="2" borderId="1" xfId="2" applyFont="1" applyFill="1" applyBorder="1" applyAlignment="1">
      <alignment horizontal="center" vertical="center"/>
    </xf>
    <xf numFmtId="0" fontId="7" fillId="0" borderId="2" xfId="2" applyFont="1" applyFill="1" applyBorder="1" applyAlignment="1">
      <alignment horizontal="center" vertical="center" wrapText="1"/>
    </xf>
    <xf numFmtId="41" fontId="7" fillId="0" borderId="2" xfId="1" applyFont="1" applyFill="1" applyBorder="1" applyAlignment="1">
      <alignment horizontal="right" vertical="center" wrapText="1"/>
    </xf>
    <xf numFmtId="41" fontId="7" fillId="0" borderId="2" xfId="1" applyFont="1" applyFill="1" applyBorder="1" applyAlignment="1">
      <alignment vertical="center" wrapText="1"/>
    </xf>
    <xf numFmtId="0" fontId="7" fillId="3" borderId="1" xfId="2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left" vertical="center" wrapText="1"/>
    </xf>
    <xf numFmtId="41" fontId="8" fillId="0" borderId="2" xfId="1" applyFont="1" applyBorder="1">
      <alignment vertical="center"/>
    </xf>
    <xf numFmtId="0" fontId="8" fillId="0" borderId="2" xfId="0" applyNumberFormat="1" applyFont="1" applyBorder="1" applyAlignment="1">
      <alignment horizontal="center" vertical="center"/>
    </xf>
    <xf numFmtId="0" fontId="7" fillId="0" borderId="2" xfId="2" applyFont="1" applyFill="1" applyBorder="1" applyAlignment="1">
      <alignment horizontal="center"/>
    </xf>
    <xf numFmtId="9" fontId="8" fillId="0" borderId="2" xfId="0" applyNumberFormat="1" applyFont="1" applyBorder="1" applyAlignment="1">
      <alignment horizontal="center" vertical="center"/>
    </xf>
    <xf numFmtId="0" fontId="7" fillId="0" borderId="2" xfId="2" applyFont="1" applyFill="1" applyBorder="1" applyAlignment="1">
      <alignment horizontal="center" wrapText="1"/>
    </xf>
    <xf numFmtId="41" fontId="8" fillId="0" borderId="2" xfId="1" applyFont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0" fillId="0" borderId="4" xfId="2" applyNumberFormat="1" applyFont="1" applyFill="1" applyBorder="1" applyAlignment="1">
      <alignment horizontal="center"/>
    </xf>
    <xf numFmtId="0" fontId="10" fillId="0" borderId="3" xfId="2" applyNumberFormat="1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 vertical="center"/>
    </xf>
    <xf numFmtId="0" fontId="7" fillId="0" borderId="4" xfId="2" applyNumberFormat="1" applyFont="1" applyFill="1" applyBorder="1" applyAlignment="1">
      <alignment horizontal="center" wrapText="1"/>
    </xf>
    <xf numFmtId="41" fontId="8" fillId="0" borderId="3" xfId="1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5" xfId="2" applyNumberFormat="1" applyFont="1" applyFill="1" applyBorder="1" applyAlignment="1">
      <alignment horizontal="center" wrapText="1"/>
    </xf>
    <xf numFmtId="41" fontId="8" fillId="0" borderId="2" xfId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8" fillId="0" borderId="0" xfId="3" applyFont="1" applyAlignment="1">
      <alignment vertical="center"/>
    </xf>
    <xf numFmtId="0" fontId="9" fillId="0" borderId="2" xfId="3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41" fontId="13" fillId="0" borderId="2" xfId="1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5" borderId="2" xfId="0" applyFont="1" applyFill="1" applyBorder="1" applyAlignment="1">
      <alignment horizontal="center" vertical="center"/>
    </xf>
    <xf numFmtId="0" fontId="10" fillId="5" borderId="2" xfId="2" applyFont="1" applyFill="1" applyBorder="1" applyAlignment="1">
      <alignment horizontal="center" vertical="center"/>
    </xf>
    <xf numFmtId="41" fontId="8" fillId="0" borderId="2" xfId="1" applyFont="1" applyBorder="1" applyAlignment="1">
      <alignment vertical="center"/>
    </xf>
    <xf numFmtId="0" fontId="15" fillId="0" borderId="0" xfId="0" applyFont="1">
      <alignment vertical="center"/>
    </xf>
    <xf numFmtId="0" fontId="16" fillId="0" borderId="0" xfId="4" applyFont="1" applyAlignment="1">
      <alignment horizontal="center"/>
    </xf>
    <xf numFmtId="0" fontId="14" fillId="0" borderId="0" xfId="4" applyFont="1"/>
    <xf numFmtId="0" fontId="8" fillId="0" borderId="0" xfId="4" applyFont="1"/>
    <xf numFmtId="0" fontId="17" fillId="0" borderId="0" xfId="0" applyFont="1">
      <alignment vertical="center"/>
    </xf>
    <xf numFmtId="0" fontId="7" fillId="0" borderId="0" xfId="2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76" fontId="8" fillId="0" borderId="4" xfId="1" applyNumberFormat="1" applyFont="1" applyFill="1" applyBorder="1">
      <alignment vertical="center"/>
    </xf>
    <xf numFmtId="176" fontId="8" fillId="0" borderId="5" xfId="1" applyNumberFormat="1" applyFont="1" applyFill="1" applyBorder="1">
      <alignment vertical="center"/>
    </xf>
  </cellXfs>
  <cellStyles count="5">
    <cellStyle name="쉼표 [0]" xfId="1" builtinId="6"/>
    <cellStyle name="표준" xfId="0" builtinId="0"/>
    <cellStyle name="표준 2" xfId="4" xr:uid="{00000000-0005-0000-0000-000002000000}"/>
    <cellStyle name="표준_02회 모의고사 B형(정답)" xfId="3" xr:uid="{00000000-0005-0000-0000-000003000000}"/>
    <cellStyle name="표준_Sheet1" xfId="2" xr:uid="{00000000-0005-0000-0000-000004000000}"/>
  </cellStyles>
  <dxfs count="1">
    <dxf>
      <font>
        <b/>
        <i/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'기타작업-1'!$C$4</c:f>
              <c:strCache>
                <c:ptCount val="1"/>
                <c:pt idx="0">
                  <c:v>김기상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'기타작업-1'!$E$3:$I$3</c:f>
              <c:strCache>
                <c:ptCount val="5"/>
                <c:pt idx="0">
                  <c:v>정보화능력</c:v>
                </c:pt>
                <c:pt idx="1">
                  <c:v>엑셀</c:v>
                </c:pt>
                <c:pt idx="2">
                  <c:v>파워포인트</c:v>
                </c:pt>
                <c:pt idx="3">
                  <c:v>인터넷</c:v>
                </c:pt>
                <c:pt idx="4">
                  <c:v>합계</c:v>
                </c:pt>
              </c:strCache>
            </c:strRef>
          </c:cat>
          <c:val>
            <c:numRef>
              <c:f>'기타작업-1'!$E$4:$I$4</c:f>
              <c:numCache>
                <c:formatCode>_(* #,##0_);_(* \(#,##0\);_(* "-"_);_(@_)</c:formatCode>
                <c:ptCount val="5"/>
                <c:pt idx="0">
                  <c:v>32</c:v>
                </c:pt>
                <c:pt idx="1">
                  <c:v>70</c:v>
                </c:pt>
                <c:pt idx="2">
                  <c:v>32</c:v>
                </c:pt>
                <c:pt idx="3">
                  <c:v>63</c:v>
                </c:pt>
                <c:pt idx="4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2D-44DA-9DF5-A7F1891B0B6C}"/>
            </c:ext>
          </c:extLst>
        </c:ser>
        <c:ser>
          <c:idx val="1"/>
          <c:order val="1"/>
          <c:tx>
            <c:strRef>
              <c:f>'기타작업-1'!$C$5</c:f>
              <c:strCache>
                <c:ptCount val="1"/>
                <c:pt idx="0">
                  <c:v>김원평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'기타작업-1'!$E$3:$I$3</c:f>
              <c:strCache>
                <c:ptCount val="5"/>
                <c:pt idx="0">
                  <c:v>정보화능력</c:v>
                </c:pt>
                <c:pt idx="1">
                  <c:v>엑셀</c:v>
                </c:pt>
                <c:pt idx="2">
                  <c:v>파워포인트</c:v>
                </c:pt>
                <c:pt idx="3">
                  <c:v>인터넷</c:v>
                </c:pt>
                <c:pt idx="4">
                  <c:v>합계</c:v>
                </c:pt>
              </c:strCache>
            </c:strRef>
          </c:cat>
          <c:val>
            <c:numRef>
              <c:f>'기타작업-1'!$E$5:$I$5</c:f>
              <c:numCache>
                <c:formatCode>_(* #,##0_);_(* \(#,##0\);_(* "-"_);_(@_)</c:formatCode>
                <c:ptCount val="5"/>
                <c:pt idx="0">
                  <c:v>50</c:v>
                </c:pt>
                <c:pt idx="1">
                  <c:v>58</c:v>
                </c:pt>
                <c:pt idx="2">
                  <c:v>88</c:v>
                </c:pt>
                <c:pt idx="3">
                  <c:v>50</c:v>
                </c:pt>
                <c:pt idx="4">
                  <c:v>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2D-44DA-9DF5-A7F1891B0B6C}"/>
            </c:ext>
          </c:extLst>
        </c:ser>
        <c:ser>
          <c:idx val="2"/>
          <c:order val="2"/>
          <c:tx>
            <c:strRef>
              <c:f>'기타작업-1'!$C$6</c:f>
              <c:strCache>
                <c:ptCount val="1"/>
                <c:pt idx="0">
                  <c:v>김영득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'기타작업-1'!$E$3:$I$3</c:f>
              <c:strCache>
                <c:ptCount val="5"/>
                <c:pt idx="0">
                  <c:v>정보화능력</c:v>
                </c:pt>
                <c:pt idx="1">
                  <c:v>엑셀</c:v>
                </c:pt>
                <c:pt idx="2">
                  <c:v>파워포인트</c:v>
                </c:pt>
                <c:pt idx="3">
                  <c:v>인터넷</c:v>
                </c:pt>
                <c:pt idx="4">
                  <c:v>합계</c:v>
                </c:pt>
              </c:strCache>
            </c:strRef>
          </c:cat>
          <c:val>
            <c:numRef>
              <c:f>'기타작업-1'!$E$6:$I$6</c:f>
              <c:numCache>
                <c:formatCode>_(* #,##0_);_(* \(#,##0\);_(* "-"_);_(@_)</c:formatCode>
                <c:ptCount val="5"/>
                <c:pt idx="0">
                  <c:v>77</c:v>
                </c:pt>
                <c:pt idx="1">
                  <c:v>78</c:v>
                </c:pt>
                <c:pt idx="2">
                  <c:v>71</c:v>
                </c:pt>
                <c:pt idx="3">
                  <c:v>62</c:v>
                </c:pt>
                <c:pt idx="4">
                  <c:v>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2D-44DA-9DF5-A7F1891B0B6C}"/>
            </c:ext>
          </c:extLst>
        </c:ser>
        <c:ser>
          <c:idx val="3"/>
          <c:order val="3"/>
          <c:tx>
            <c:strRef>
              <c:f>'기타작업-1'!$C$8</c:f>
              <c:strCache>
                <c:ptCount val="1"/>
                <c:pt idx="0">
                  <c:v>김수지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'기타작업-1'!$E$3:$I$3</c:f>
              <c:strCache>
                <c:ptCount val="5"/>
                <c:pt idx="0">
                  <c:v>정보화능력</c:v>
                </c:pt>
                <c:pt idx="1">
                  <c:v>엑셀</c:v>
                </c:pt>
                <c:pt idx="2">
                  <c:v>파워포인트</c:v>
                </c:pt>
                <c:pt idx="3">
                  <c:v>인터넷</c:v>
                </c:pt>
                <c:pt idx="4">
                  <c:v>합계</c:v>
                </c:pt>
              </c:strCache>
            </c:strRef>
          </c:cat>
          <c:val>
            <c:numRef>
              <c:f>'기타작업-1'!$E$8:$I$8</c:f>
              <c:numCache>
                <c:formatCode>_(* #,##0_);_(* \(#,##0\);_(* "-"_);_(@_)</c:formatCode>
                <c:ptCount val="5"/>
                <c:pt idx="0">
                  <c:v>85</c:v>
                </c:pt>
                <c:pt idx="1">
                  <c:v>60</c:v>
                </c:pt>
                <c:pt idx="2">
                  <c:v>85</c:v>
                </c:pt>
                <c:pt idx="3">
                  <c:v>85</c:v>
                </c:pt>
                <c:pt idx="4">
                  <c:v>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2D-44DA-9DF5-A7F1891B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58370368"/>
        <c:axId val="1758374528"/>
      </c:barChart>
      <c:catAx>
        <c:axId val="175837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374528"/>
        <c:crosses val="autoZero"/>
        <c:auto val="1"/>
        <c:lblAlgn val="ctr"/>
        <c:lblOffset val="100"/>
        <c:noMultiLvlLbl val="0"/>
      </c:catAx>
      <c:valAx>
        <c:axId val="17583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37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778250" y="215900"/>
          <a:ext cx="685800" cy="431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</xdr:row>
      <xdr:rowOff>0</xdr:rowOff>
    </xdr:from>
    <xdr:to>
      <xdr:col>17</xdr:col>
      <xdr:colOff>600075</xdr:colOff>
      <xdr:row>21</xdr:row>
      <xdr:rowOff>190500</xdr:rowOff>
    </xdr:to>
    <xdr:pic>
      <xdr:nvPicPr>
        <xdr:cNvPr id="4" name="_x180172464" descr="EMB000023dc4dc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5" y="609600"/>
          <a:ext cx="5400675" cy="417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657224</xdr:colOff>
          <xdr:row>1</xdr:row>
          <xdr:rowOff>66675</xdr:rowOff>
        </xdr:from>
        <xdr:to>
          <xdr:col>6</xdr:col>
          <xdr:colOff>28574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638175</xdr:colOff>
          <xdr:row>3</xdr:row>
          <xdr:rowOff>9525</xdr:rowOff>
        </xdr:to>
        <xdr:sp macro="" textlink="">
          <xdr:nvSpPr>
            <xdr:cNvPr id="7169" name="점수조회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L19"/>
  <sheetViews>
    <sheetView workbookViewId="0">
      <selection activeCell="L12" sqref="L12"/>
    </sheetView>
  </sheetViews>
  <sheetFormatPr defaultRowHeight="16.5" x14ac:dyDescent="0.3"/>
  <cols>
    <col min="1" max="1" width="1.625" customWidth="1"/>
    <col min="6" max="10" width="11" customWidth="1"/>
  </cols>
  <sheetData>
    <row r="1" spans="2:12" ht="31.5" x14ac:dyDescent="0.3">
      <c r="B1" s="41" t="s">
        <v>0</v>
      </c>
      <c r="C1" s="41"/>
      <c r="D1" s="41"/>
      <c r="E1" s="41"/>
      <c r="F1" s="41"/>
      <c r="G1" s="41"/>
      <c r="H1" s="41"/>
      <c r="I1" s="41"/>
      <c r="J1" s="41"/>
    </row>
    <row r="2" spans="2:12" x14ac:dyDescent="0.3">
      <c r="B2" s="1"/>
      <c r="C2" s="1"/>
      <c r="D2" s="1"/>
      <c r="E2" s="1"/>
      <c r="F2" s="1"/>
      <c r="G2" s="1"/>
      <c r="H2" s="1"/>
      <c r="I2" s="1"/>
      <c r="J2" s="1"/>
      <c r="L2" s="35" t="s">
        <v>136</v>
      </c>
    </row>
    <row r="3" spans="2:12" x14ac:dyDescent="0.3"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6" t="s">
        <v>6</v>
      </c>
      <c r="H3" s="6" t="s">
        <v>7</v>
      </c>
      <c r="I3" s="6" t="s">
        <v>8</v>
      </c>
      <c r="J3" s="6" t="s">
        <v>9</v>
      </c>
      <c r="L3" s="35" t="s">
        <v>137</v>
      </c>
    </row>
    <row r="4" spans="2:12" x14ac:dyDescent="0.3">
      <c r="B4" s="3" t="s">
        <v>10</v>
      </c>
      <c r="C4" s="3" t="s">
        <v>11</v>
      </c>
      <c r="D4" s="3" t="s">
        <v>12</v>
      </c>
      <c r="E4" s="3" t="s">
        <v>13</v>
      </c>
      <c r="F4" s="4">
        <v>82</v>
      </c>
      <c r="G4" s="4">
        <v>90</v>
      </c>
      <c r="H4" s="4">
        <v>75</v>
      </c>
      <c r="I4" s="4">
        <v>71</v>
      </c>
      <c r="J4" s="5">
        <f t="shared" ref="J4:J17" si="0">F4+G4+H4+I4</f>
        <v>318</v>
      </c>
      <c r="K4" t="b">
        <f>AND(E4="대리",J4&gt;=300)</f>
        <v>0</v>
      </c>
      <c r="L4" s="35" t="s">
        <v>138</v>
      </c>
    </row>
    <row r="5" spans="2:12" x14ac:dyDescent="0.3">
      <c r="B5" s="3" t="s">
        <v>14</v>
      </c>
      <c r="C5" s="3" t="s">
        <v>15</v>
      </c>
      <c r="D5" s="3" t="s">
        <v>12</v>
      </c>
      <c r="E5" s="3" t="s">
        <v>16</v>
      </c>
      <c r="F5" s="4">
        <v>83</v>
      </c>
      <c r="G5" s="4">
        <v>70</v>
      </c>
      <c r="H5" s="4">
        <v>70</v>
      </c>
      <c r="I5" s="4">
        <v>80</v>
      </c>
      <c r="J5" s="5">
        <f t="shared" si="0"/>
        <v>303</v>
      </c>
      <c r="L5" s="35"/>
    </row>
    <row r="6" spans="2:12" x14ac:dyDescent="0.3">
      <c r="B6" s="3" t="s">
        <v>17</v>
      </c>
      <c r="C6" s="3" t="s">
        <v>18</v>
      </c>
      <c r="D6" s="3" t="s">
        <v>19</v>
      </c>
      <c r="E6" s="3" t="s">
        <v>13</v>
      </c>
      <c r="F6" s="4">
        <v>89</v>
      </c>
      <c r="G6" s="4">
        <v>50</v>
      </c>
      <c r="H6" s="4">
        <v>78</v>
      </c>
      <c r="I6" s="4">
        <v>90</v>
      </c>
      <c r="J6" s="5">
        <f t="shared" si="0"/>
        <v>307</v>
      </c>
      <c r="L6" s="35" t="s">
        <v>139</v>
      </c>
    </row>
    <row r="7" spans="2:12" x14ac:dyDescent="0.3">
      <c r="B7" s="3" t="s">
        <v>20</v>
      </c>
      <c r="C7" s="3" t="s">
        <v>21</v>
      </c>
      <c r="D7" s="3" t="s">
        <v>19</v>
      </c>
      <c r="E7" s="3" t="s">
        <v>16</v>
      </c>
      <c r="F7" s="4">
        <v>89</v>
      </c>
      <c r="G7" s="4">
        <v>63</v>
      </c>
      <c r="H7" s="4">
        <v>78</v>
      </c>
      <c r="I7" s="4">
        <v>70</v>
      </c>
      <c r="J7" s="5">
        <f t="shared" si="0"/>
        <v>300</v>
      </c>
      <c r="L7" s="35" t="s">
        <v>140</v>
      </c>
    </row>
    <row r="8" spans="2:12" x14ac:dyDescent="0.3">
      <c r="B8" s="3" t="s">
        <v>22</v>
      </c>
      <c r="C8" s="3" t="s">
        <v>23</v>
      </c>
      <c r="D8" s="3" t="s">
        <v>24</v>
      </c>
      <c r="E8" s="3" t="s">
        <v>13</v>
      </c>
      <c r="F8" s="4">
        <v>32</v>
      </c>
      <c r="G8" s="4">
        <v>70</v>
      </c>
      <c r="H8" s="4">
        <v>32</v>
      </c>
      <c r="I8" s="4">
        <v>63</v>
      </c>
      <c r="J8" s="5">
        <f t="shared" si="0"/>
        <v>197</v>
      </c>
      <c r="L8" s="35" t="s">
        <v>141</v>
      </c>
    </row>
    <row r="9" spans="2:12" x14ac:dyDescent="0.3">
      <c r="B9" s="3" t="s">
        <v>25</v>
      </c>
      <c r="C9" s="3" t="s">
        <v>26</v>
      </c>
      <c r="D9" s="3" t="s">
        <v>24</v>
      </c>
      <c r="E9" s="3" t="s">
        <v>13</v>
      </c>
      <c r="F9" s="4">
        <v>85</v>
      </c>
      <c r="G9" s="4">
        <v>60</v>
      </c>
      <c r="H9" s="4">
        <v>85</v>
      </c>
      <c r="I9" s="4">
        <v>85</v>
      </c>
      <c r="J9" s="5">
        <f t="shared" si="0"/>
        <v>315</v>
      </c>
    </row>
    <row r="10" spans="2:12" x14ac:dyDescent="0.3">
      <c r="B10" s="3" t="s">
        <v>27</v>
      </c>
      <c r="C10" s="3" t="s">
        <v>28</v>
      </c>
      <c r="D10" s="3" t="s">
        <v>24</v>
      </c>
      <c r="E10" s="3" t="s">
        <v>13</v>
      </c>
      <c r="F10" s="4">
        <v>77</v>
      </c>
      <c r="G10" s="4">
        <v>78</v>
      </c>
      <c r="H10" s="4">
        <v>71</v>
      </c>
      <c r="I10" s="4">
        <v>62</v>
      </c>
      <c r="J10" s="5">
        <f t="shared" si="0"/>
        <v>288</v>
      </c>
    </row>
    <row r="11" spans="2:12" x14ac:dyDescent="0.3">
      <c r="B11" s="3" t="s">
        <v>29</v>
      </c>
      <c r="C11" s="3" t="s">
        <v>30</v>
      </c>
      <c r="D11" s="3" t="s">
        <v>24</v>
      </c>
      <c r="E11" s="3" t="s">
        <v>16</v>
      </c>
      <c r="F11" s="4">
        <v>50</v>
      </c>
      <c r="G11" s="4">
        <v>58</v>
      </c>
      <c r="H11" s="4">
        <v>88</v>
      </c>
      <c r="I11" s="4">
        <v>50</v>
      </c>
      <c r="J11" s="5">
        <f t="shared" si="0"/>
        <v>246</v>
      </c>
    </row>
    <row r="12" spans="2:12" x14ac:dyDescent="0.3">
      <c r="B12" s="3" t="s">
        <v>31</v>
      </c>
      <c r="C12" s="3" t="s">
        <v>32</v>
      </c>
      <c r="D12" s="3" t="s">
        <v>24</v>
      </c>
      <c r="E12" s="3" t="s">
        <v>16</v>
      </c>
      <c r="F12" s="4">
        <v>77</v>
      </c>
      <c r="G12" s="4">
        <v>73</v>
      </c>
      <c r="H12" s="4">
        <v>65</v>
      </c>
      <c r="I12" s="4">
        <v>90</v>
      </c>
      <c r="J12" s="5">
        <f t="shared" si="0"/>
        <v>305</v>
      </c>
    </row>
    <row r="13" spans="2:12" x14ac:dyDescent="0.3">
      <c r="B13" s="3" t="s">
        <v>33</v>
      </c>
      <c r="C13" s="3" t="s">
        <v>34</v>
      </c>
      <c r="D13" s="3" t="s">
        <v>35</v>
      </c>
      <c r="E13" s="3" t="s">
        <v>13</v>
      </c>
      <c r="F13" s="4">
        <v>99</v>
      </c>
      <c r="G13" s="4">
        <v>62</v>
      </c>
      <c r="H13" s="4">
        <v>93</v>
      </c>
      <c r="I13" s="4">
        <v>95</v>
      </c>
      <c r="J13" s="5">
        <f t="shared" si="0"/>
        <v>349</v>
      </c>
    </row>
    <row r="14" spans="2:12" x14ac:dyDescent="0.3">
      <c r="B14" s="3" t="s">
        <v>36</v>
      </c>
      <c r="C14" s="3" t="s">
        <v>37</v>
      </c>
      <c r="D14" s="3" t="s">
        <v>35</v>
      </c>
      <c r="E14" s="3" t="s">
        <v>13</v>
      </c>
      <c r="F14" s="4">
        <v>86</v>
      </c>
      <c r="G14" s="4">
        <v>80</v>
      </c>
      <c r="H14" s="4">
        <v>95</v>
      </c>
      <c r="I14" s="4">
        <v>82</v>
      </c>
      <c r="J14" s="5">
        <f t="shared" si="0"/>
        <v>343</v>
      </c>
    </row>
    <row r="15" spans="2:12" x14ac:dyDescent="0.3">
      <c r="B15" s="3" t="s">
        <v>38</v>
      </c>
      <c r="C15" s="3" t="s">
        <v>39</v>
      </c>
      <c r="D15" s="3" t="s">
        <v>35</v>
      </c>
      <c r="E15" s="3" t="s">
        <v>13</v>
      </c>
      <c r="F15" s="4">
        <v>93</v>
      </c>
      <c r="G15" s="4">
        <v>95</v>
      </c>
      <c r="H15" s="4">
        <v>78</v>
      </c>
      <c r="I15" s="4">
        <v>79</v>
      </c>
      <c r="J15" s="5">
        <f t="shared" si="0"/>
        <v>345</v>
      </c>
    </row>
    <row r="16" spans="2:12" x14ac:dyDescent="0.3">
      <c r="B16" s="3" t="s">
        <v>40</v>
      </c>
      <c r="C16" s="3" t="s">
        <v>41</v>
      </c>
      <c r="D16" s="3" t="s">
        <v>35</v>
      </c>
      <c r="E16" s="3" t="s">
        <v>16</v>
      </c>
      <c r="F16" s="4">
        <v>87</v>
      </c>
      <c r="G16" s="4">
        <v>84</v>
      </c>
      <c r="H16" s="4">
        <v>65</v>
      </c>
      <c r="I16" s="4">
        <v>60</v>
      </c>
      <c r="J16" s="5">
        <f t="shared" si="0"/>
        <v>296</v>
      </c>
    </row>
    <row r="17" spans="2:10" x14ac:dyDescent="0.3">
      <c r="B17" s="3" t="s">
        <v>42</v>
      </c>
      <c r="C17" s="3" t="s">
        <v>43</v>
      </c>
      <c r="D17" s="3" t="s">
        <v>35</v>
      </c>
      <c r="E17" s="3" t="s">
        <v>16</v>
      </c>
      <c r="F17" s="4">
        <v>93</v>
      </c>
      <c r="G17" s="4">
        <v>78</v>
      </c>
      <c r="H17" s="4">
        <v>89</v>
      </c>
      <c r="I17" s="4">
        <v>93</v>
      </c>
      <c r="J17" s="5">
        <f t="shared" si="0"/>
        <v>353</v>
      </c>
    </row>
    <row r="19" spans="2:10" x14ac:dyDescent="0.3">
      <c r="B19" s="40"/>
    </row>
  </sheetData>
  <mergeCells count="1">
    <mergeCell ref="B1:J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J17"/>
  <sheetViews>
    <sheetView workbookViewId="0"/>
  </sheetViews>
  <sheetFormatPr defaultRowHeight="16.5" x14ac:dyDescent="0.3"/>
  <cols>
    <col min="1" max="1" width="1.625" customWidth="1"/>
    <col min="6" max="10" width="11" customWidth="1"/>
  </cols>
  <sheetData>
    <row r="1" spans="2:10" x14ac:dyDescent="0.3">
      <c r="B1" s="31"/>
      <c r="C1" s="31"/>
      <c r="D1" s="31"/>
      <c r="E1" s="31"/>
      <c r="F1" s="31"/>
      <c r="G1" s="31"/>
      <c r="H1" s="31"/>
      <c r="I1" s="31"/>
      <c r="J1" s="31"/>
    </row>
    <row r="2" spans="2:10" x14ac:dyDescent="0.3">
      <c r="B2" s="1"/>
      <c r="C2" s="1"/>
      <c r="D2" s="1"/>
      <c r="E2" s="1"/>
      <c r="F2" s="1"/>
      <c r="G2" s="1"/>
      <c r="H2" s="1"/>
      <c r="I2" s="1"/>
      <c r="J2" s="1"/>
    </row>
    <row r="3" spans="2:10" x14ac:dyDescent="0.3"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6" t="s">
        <v>6</v>
      </c>
      <c r="H3" s="6" t="s">
        <v>7</v>
      </c>
      <c r="I3" s="6" t="s">
        <v>8</v>
      </c>
      <c r="J3" s="6" t="s">
        <v>9</v>
      </c>
    </row>
    <row r="4" spans="2:10" x14ac:dyDescent="0.3">
      <c r="B4" s="3" t="s">
        <v>10</v>
      </c>
      <c r="C4" s="3" t="s">
        <v>11</v>
      </c>
      <c r="D4" s="3" t="s">
        <v>12</v>
      </c>
      <c r="E4" s="3" t="s">
        <v>13</v>
      </c>
      <c r="F4" s="4">
        <v>82</v>
      </c>
      <c r="G4" s="4">
        <v>90</v>
      </c>
      <c r="H4" s="4">
        <v>75</v>
      </c>
      <c r="I4" s="4">
        <v>71</v>
      </c>
      <c r="J4" s="5">
        <f t="shared" ref="J4:J17" si="0">F4+G4+H4+I4</f>
        <v>318</v>
      </c>
    </row>
    <row r="5" spans="2:10" x14ac:dyDescent="0.3">
      <c r="B5" s="3" t="s">
        <v>14</v>
      </c>
      <c r="C5" s="3" t="s">
        <v>15</v>
      </c>
      <c r="D5" s="3" t="s">
        <v>12</v>
      </c>
      <c r="E5" s="3" t="s">
        <v>16</v>
      </c>
      <c r="F5" s="4">
        <v>83</v>
      </c>
      <c r="G5" s="4">
        <v>70</v>
      </c>
      <c r="H5" s="4">
        <v>70</v>
      </c>
      <c r="I5" s="4">
        <v>80</v>
      </c>
      <c r="J5" s="5">
        <f t="shared" si="0"/>
        <v>303</v>
      </c>
    </row>
    <row r="6" spans="2:10" x14ac:dyDescent="0.3">
      <c r="B6" s="3" t="s">
        <v>17</v>
      </c>
      <c r="C6" s="3" t="s">
        <v>18</v>
      </c>
      <c r="D6" s="3" t="s">
        <v>19</v>
      </c>
      <c r="E6" s="3" t="s">
        <v>13</v>
      </c>
      <c r="F6" s="4">
        <v>89</v>
      </c>
      <c r="G6" s="4">
        <v>50</v>
      </c>
      <c r="H6" s="4">
        <v>78</v>
      </c>
      <c r="I6" s="4">
        <v>90</v>
      </c>
      <c r="J6" s="5">
        <f t="shared" si="0"/>
        <v>307</v>
      </c>
    </row>
    <row r="7" spans="2:10" x14ac:dyDescent="0.3">
      <c r="B7" s="3" t="s">
        <v>20</v>
      </c>
      <c r="C7" s="3" t="s">
        <v>21</v>
      </c>
      <c r="D7" s="3" t="s">
        <v>19</v>
      </c>
      <c r="E7" s="3" t="s">
        <v>16</v>
      </c>
      <c r="F7" s="4">
        <v>89</v>
      </c>
      <c r="G7" s="4">
        <v>63</v>
      </c>
      <c r="H7" s="4">
        <v>78</v>
      </c>
      <c r="I7" s="4">
        <v>70</v>
      </c>
      <c r="J7" s="5">
        <f t="shared" si="0"/>
        <v>300</v>
      </c>
    </row>
    <row r="8" spans="2:10" x14ac:dyDescent="0.3">
      <c r="B8" s="3" t="s">
        <v>22</v>
      </c>
      <c r="C8" s="3" t="s">
        <v>23</v>
      </c>
      <c r="D8" s="3" t="s">
        <v>24</v>
      </c>
      <c r="E8" s="3" t="s">
        <v>13</v>
      </c>
      <c r="F8" s="4">
        <v>32</v>
      </c>
      <c r="G8" s="4">
        <v>70</v>
      </c>
      <c r="H8" s="4">
        <v>32</v>
      </c>
      <c r="I8" s="4">
        <v>63</v>
      </c>
      <c r="J8" s="5">
        <f t="shared" si="0"/>
        <v>197</v>
      </c>
    </row>
    <row r="9" spans="2:10" x14ac:dyDescent="0.3">
      <c r="B9" s="3" t="s">
        <v>25</v>
      </c>
      <c r="C9" s="3" t="s">
        <v>26</v>
      </c>
      <c r="D9" s="3" t="s">
        <v>24</v>
      </c>
      <c r="E9" s="3" t="s">
        <v>13</v>
      </c>
      <c r="F9" s="4">
        <v>85</v>
      </c>
      <c r="G9" s="4">
        <v>60</v>
      </c>
      <c r="H9" s="4">
        <v>85</v>
      </c>
      <c r="I9" s="4">
        <v>85</v>
      </c>
      <c r="J9" s="5">
        <f t="shared" si="0"/>
        <v>315</v>
      </c>
    </row>
    <row r="10" spans="2:10" x14ac:dyDescent="0.3">
      <c r="B10" s="3" t="s">
        <v>27</v>
      </c>
      <c r="C10" s="3" t="s">
        <v>28</v>
      </c>
      <c r="D10" s="3" t="s">
        <v>24</v>
      </c>
      <c r="E10" s="3" t="s">
        <v>13</v>
      </c>
      <c r="F10" s="4">
        <v>77</v>
      </c>
      <c r="G10" s="4">
        <v>78</v>
      </c>
      <c r="H10" s="4">
        <v>71</v>
      </c>
      <c r="I10" s="4">
        <v>62</v>
      </c>
      <c r="J10" s="5">
        <f t="shared" si="0"/>
        <v>288</v>
      </c>
    </row>
    <row r="11" spans="2:10" x14ac:dyDescent="0.3">
      <c r="B11" s="3" t="s">
        <v>29</v>
      </c>
      <c r="C11" s="3" t="s">
        <v>30</v>
      </c>
      <c r="D11" s="3" t="s">
        <v>24</v>
      </c>
      <c r="E11" s="3" t="s">
        <v>16</v>
      </c>
      <c r="F11" s="4">
        <v>50</v>
      </c>
      <c r="G11" s="4">
        <v>58</v>
      </c>
      <c r="H11" s="4">
        <v>88</v>
      </c>
      <c r="I11" s="4">
        <v>50</v>
      </c>
      <c r="J11" s="5">
        <f t="shared" si="0"/>
        <v>246</v>
      </c>
    </row>
    <row r="12" spans="2:10" x14ac:dyDescent="0.3">
      <c r="B12" s="3" t="s">
        <v>31</v>
      </c>
      <c r="C12" s="3" t="s">
        <v>32</v>
      </c>
      <c r="D12" s="3" t="s">
        <v>24</v>
      </c>
      <c r="E12" s="3" t="s">
        <v>16</v>
      </c>
      <c r="F12" s="4">
        <v>77</v>
      </c>
      <c r="G12" s="4">
        <v>73</v>
      </c>
      <c r="H12" s="4">
        <v>65</v>
      </c>
      <c r="I12" s="4">
        <v>90</v>
      </c>
      <c r="J12" s="5">
        <f t="shared" si="0"/>
        <v>305</v>
      </c>
    </row>
    <row r="13" spans="2:10" x14ac:dyDescent="0.3">
      <c r="B13" s="3" t="s">
        <v>33</v>
      </c>
      <c r="C13" s="3" t="s">
        <v>34</v>
      </c>
      <c r="D13" s="3" t="s">
        <v>35</v>
      </c>
      <c r="E13" s="3" t="s">
        <v>13</v>
      </c>
      <c r="F13" s="4">
        <v>99</v>
      </c>
      <c r="G13" s="4">
        <v>62</v>
      </c>
      <c r="H13" s="4">
        <v>93</v>
      </c>
      <c r="I13" s="4">
        <v>95</v>
      </c>
      <c r="J13" s="5">
        <f t="shared" si="0"/>
        <v>349</v>
      </c>
    </row>
    <row r="14" spans="2:10" x14ac:dyDescent="0.3">
      <c r="B14" s="3" t="s">
        <v>36</v>
      </c>
      <c r="C14" s="3" t="s">
        <v>37</v>
      </c>
      <c r="D14" s="3" t="s">
        <v>35</v>
      </c>
      <c r="E14" s="3" t="s">
        <v>13</v>
      </c>
      <c r="F14" s="4">
        <v>86</v>
      </c>
      <c r="G14" s="4">
        <v>80</v>
      </c>
      <c r="H14" s="4">
        <v>95</v>
      </c>
      <c r="I14" s="4">
        <v>82</v>
      </c>
      <c r="J14" s="5">
        <f t="shared" si="0"/>
        <v>343</v>
      </c>
    </row>
    <row r="15" spans="2:10" x14ac:dyDescent="0.3">
      <c r="B15" s="3" t="s">
        <v>38</v>
      </c>
      <c r="C15" s="3" t="s">
        <v>39</v>
      </c>
      <c r="D15" s="3" t="s">
        <v>35</v>
      </c>
      <c r="E15" s="3" t="s">
        <v>13</v>
      </c>
      <c r="F15" s="4">
        <v>93</v>
      </c>
      <c r="G15" s="4">
        <v>95</v>
      </c>
      <c r="H15" s="4">
        <v>78</v>
      </c>
      <c r="I15" s="4">
        <v>79</v>
      </c>
      <c r="J15" s="5">
        <f t="shared" si="0"/>
        <v>345</v>
      </c>
    </row>
    <row r="16" spans="2:10" x14ac:dyDescent="0.3">
      <c r="B16" s="3" t="s">
        <v>40</v>
      </c>
      <c r="C16" s="3" t="s">
        <v>41</v>
      </c>
      <c r="D16" s="3" t="s">
        <v>35</v>
      </c>
      <c r="E16" s="3" t="s">
        <v>16</v>
      </c>
      <c r="F16" s="4">
        <v>87</v>
      </c>
      <c r="G16" s="4">
        <v>84</v>
      </c>
      <c r="H16" s="4">
        <v>65</v>
      </c>
      <c r="I16" s="4">
        <v>60</v>
      </c>
      <c r="J16" s="5">
        <f t="shared" si="0"/>
        <v>296</v>
      </c>
    </row>
    <row r="17" spans="2:10" x14ac:dyDescent="0.3">
      <c r="B17" s="3" t="s">
        <v>42</v>
      </c>
      <c r="C17" s="3" t="s">
        <v>43</v>
      </c>
      <c r="D17" s="3" t="s">
        <v>35</v>
      </c>
      <c r="E17" s="3" t="s">
        <v>16</v>
      </c>
      <c r="F17" s="4">
        <v>93</v>
      </c>
      <c r="G17" s="4">
        <v>78</v>
      </c>
      <c r="H17" s="4">
        <v>89</v>
      </c>
      <c r="I17" s="4">
        <v>93</v>
      </c>
      <c r="J17" s="5">
        <f t="shared" si="0"/>
        <v>353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N39"/>
  <sheetViews>
    <sheetView workbookViewId="0"/>
  </sheetViews>
  <sheetFormatPr defaultRowHeight="16.5" x14ac:dyDescent="0.3"/>
  <cols>
    <col min="1" max="1" width="3.625" customWidth="1"/>
    <col min="3" max="3" width="15" bestFit="1" customWidth="1"/>
    <col min="5" max="5" width="10.375" bestFit="1" customWidth="1"/>
    <col min="6" max="6" width="11.25" customWidth="1"/>
    <col min="7" max="7" width="8.875" customWidth="1"/>
    <col min="9" max="9" width="10" bestFit="1" customWidth="1"/>
  </cols>
  <sheetData>
    <row r="1" spans="2:14" x14ac:dyDescent="0.3">
      <c r="B1" s="7" t="s">
        <v>44</v>
      </c>
      <c r="C1" s="7"/>
      <c r="D1" s="7"/>
      <c r="E1" s="7"/>
      <c r="F1" s="7" t="s">
        <v>45</v>
      </c>
      <c r="G1" s="7"/>
      <c r="H1" s="7"/>
      <c r="I1" s="7"/>
      <c r="J1" s="7"/>
      <c r="K1" s="7"/>
      <c r="L1" s="7"/>
      <c r="M1" s="7"/>
    </row>
    <row r="2" spans="2:14" ht="33" x14ac:dyDescent="0.3">
      <c r="B2" s="8" t="s">
        <v>46</v>
      </c>
      <c r="C2" s="16" t="s">
        <v>47</v>
      </c>
      <c r="D2" s="16" t="s">
        <v>48</v>
      </c>
      <c r="E2" s="7"/>
      <c r="F2" s="9" t="s">
        <v>49</v>
      </c>
      <c r="G2" s="16" t="s">
        <v>50</v>
      </c>
      <c r="H2" s="16" t="s">
        <v>51</v>
      </c>
      <c r="I2" s="16" t="s">
        <v>52</v>
      </c>
      <c r="J2" s="16" t="s">
        <v>53</v>
      </c>
      <c r="K2" s="7"/>
      <c r="L2" s="7"/>
      <c r="M2" s="7"/>
    </row>
    <row r="3" spans="2:14" x14ac:dyDescent="0.3">
      <c r="B3" s="8" t="s">
        <v>54</v>
      </c>
      <c r="C3" s="10"/>
      <c r="D3" s="11"/>
      <c r="E3" s="7"/>
      <c r="F3" s="8" t="s">
        <v>54</v>
      </c>
      <c r="G3" s="10"/>
      <c r="H3" s="10"/>
      <c r="I3" s="10"/>
      <c r="J3" s="10"/>
      <c r="K3" s="7"/>
      <c r="L3" s="7"/>
      <c r="M3" s="7"/>
    </row>
    <row r="4" spans="2:14" x14ac:dyDescent="0.3">
      <c r="B4" s="8" t="s">
        <v>55</v>
      </c>
      <c r="C4" s="10"/>
      <c r="D4" s="11"/>
      <c r="E4" s="7"/>
      <c r="F4" s="8" t="s">
        <v>55</v>
      </c>
      <c r="G4" s="10"/>
      <c r="H4" s="10"/>
      <c r="I4" s="10"/>
      <c r="J4" s="10"/>
      <c r="K4" s="7"/>
      <c r="L4" s="7"/>
      <c r="M4" s="7"/>
    </row>
    <row r="5" spans="2:14" x14ac:dyDescent="0.3">
      <c r="B5" s="8" t="s">
        <v>56</v>
      </c>
      <c r="C5" s="10"/>
      <c r="D5" s="11"/>
      <c r="E5" s="7"/>
      <c r="F5" s="8" t="s">
        <v>57</v>
      </c>
      <c r="G5" s="10"/>
      <c r="H5" s="10"/>
      <c r="I5" s="10"/>
      <c r="J5" s="10"/>
      <c r="K5" s="7"/>
      <c r="L5" s="7"/>
      <c r="M5" s="7"/>
    </row>
    <row r="6" spans="2:14" x14ac:dyDescent="0.3">
      <c r="B6" s="8" t="s">
        <v>58</v>
      </c>
      <c r="C6" s="10"/>
      <c r="D6" s="11"/>
      <c r="E6" s="7"/>
      <c r="F6" s="8" t="s">
        <v>59</v>
      </c>
      <c r="G6" s="10"/>
      <c r="H6" s="10"/>
      <c r="I6" s="10"/>
      <c r="J6" s="10"/>
      <c r="K6" s="7"/>
      <c r="L6" s="7"/>
      <c r="M6" s="7"/>
    </row>
    <row r="7" spans="2:14" x14ac:dyDescent="0.3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4" x14ac:dyDescent="0.3">
      <c r="B8" s="7" t="s">
        <v>60</v>
      </c>
      <c r="C8" s="7"/>
      <c r="D8" s="7"/>
      <c r="E8" s="7"/>
      <c r="F8" s="7"/>
      <c r="G8" s="35" t="s">
        <v>154</v>
      </c>
      <c r="I8" s="7"/>
      <c r="J8" s="7"/>
      <c r="K8" s="7"/>
      <c r="L8" s="7"/>
      <c r="M8" s="7"/>
    </row>
    <row r="9" spans="2:14" x14ac:dyDescent="0.3">
      <c r="B9" s="8" t="s">
        <v>61</v>
      </c>
      <c r="C9" s="12" t="s">
        <v>62</v>
      </c>
      <c r="D9" s="12" t="s">
        <v>63</v>
      </c>
      <c r="E9" s="12" t="s">
        <v>64</v>
      </c>
      <c r="F9" s="12" t="s">
        <v>65</v>
      </c>
      <c r="G9" s="35" t="s">
        <v>155</v>
      </c>
      <c r="I9" s="7"/>
      <c r="J9" s="7"/>
      <c r="K9" s="7"/>
      <c r="L9" s="7"/>
      <c r="M9" s="7"/>
    </row>
    <row r="10" spans="2:14" x14ac:dyDescent="0.3">
      <c r="B10" s="8" t="s">
        <v>66</v>
      </c>
      <c r="C10" s="13">
        <v>0.4</v>
      </c>
      <c r="D10" s="13">
        <v>0.3</v>
      </c>
      <c r="E10" s="13">
        <v>0.2</v>
      </c>
      <c r="F10" s="13">
        <v>0.1</v>
      </c>
      <c r="G10" s="35" t="s">
        <v>156</v>
      </c>
      <c r="I10" s="7"/>
      <c r="J10" s="7"/>
      <c r="K10" s="7"/>
      <c r="L10" s="7"/>
      <c r="M10" s="7"/>
    </row>
    <row r="11" spans="2:14" x14ac:dyDescent="0.3">
      <c r="B11" s="7"/>
      <c r="C11" s="7"/>
      <c r="D11" s="7"/>
      <c r="E11" s="7"/>
      <c r="F11" s="7"/>
      <c r="G11" s="35" t="s">
        <v>157</v>
      </c>
      <c r="I11" s="7"/>
      <c r="J11" s="7"/>
      <c r="K11" s="7"/>
    </row>
    <row r="12" spans="2:14" x14ac:dyDescent="0.3">
      <c r="B12" s="7" t="s">
        <v>67</v>
      </c>
      <c r="C12" s="7"/>
      <c r="D12" s="7"/>
      <c r="E12" s="7"/>
      <c r="F12" s="7"/>
      <c r="G12" s="35" t="s">
        <v>158</v>
      </c>
      <c r="I12" s="7"/>
      <c r="J12" s="7"/>
      <c r="K12" s="7"/>
    </row>
    <row r="13" spans="2:14" x14ac:dyDescent="0.3">
      <c r="B13" s="8" t="s">
        <v>46</v>
      </c>
      <c r="C13" s="8" t="s">
        <v>68</v>
      </c>
      <c r="D13" s="8" t="s">
        <v>69</v>
      </c>
      <c r="E13" s="12" t="s">
        <v>62</v>
      </c>
      <c r="F13" s="12" t="s">
        <v>70</v>
      </c>
      <c r="G13" s="12" t="s">
        <v>64</v>
      </c>
      <c r="H13" s="12" t="s">
        <v>65</v>
      </c>
      <c r="I13" s="12" t="s">
        <v>71</v>
      </c>
      <c r="J13" s="16" t="s">
        <v>72</v>
      </c>
      <c r="K13" s="16" t="s">
        <v>73</v>
      </c>
      <c r="L13" s="36" t="s">
        <v>144</v>
      </c>
      <c r="M13" s="35" t="s">
        <v>142</v>
      </c>
      <c r="N13" s="7"/>
    </row>
    <row r="14" spans="2:14" x14ac:dyDescent="0.3">
      <c r="B14" s="8" t="s">
        <v>56</v>
      </c>
      <c r="C14" s="14" t="s">
        <v>43</v>
      </c>
      <c r="D14" s="8" t="s">
        <v>74</v>
      </c>
      <c r="E14" s="10">
        <v>27</v>
      </c>
      <c r="F14" s="10">
        <v>65</v>
      </c>
      <c r="G14" s="10">
        <v>43</v>
      </c>
      <c r="H14" s="10">
        <v>68</v>
      </c>
      <c r="I14" s="15" t="s">
        <v>75</v>
      </c>
      <c r="J14" s="10"/>
      <c r="K14" s="8"/>
      <c r="M14" s="35" t="s">
        <v>143</v>
      </c>
      <c r="N14" s="7"/>
    </row>
    <row r="15" spans="2:14" x14ac:dyDescent="0.3">
      <c r="B15" s="8" t="s">
        <v>59</v>
      </c>
      <c r="C15" s="14" t="s">
        <v>76</v>
      </c>
      <c r="D15" s="8" t="s">
        <v>77</v>
      </c>
      <c r="E15" s="10">
        <v>80</v>
      </c>
      <c r="F15" s="10">
        <v>73</v>
      </c>
      <c r="G15" s="10">
        <v>61</v>
      </c>
      <c r="H15" s="10">
        <v>75</v>
      </c>
      <c r="I15" s="15">
        <v>1</v>
      </c>
      <c r="J15" s="10"/>
      <c r="K15" s="8"/>
      <c r="L15" s="7"/>
      <c r="N15" s="37" t="s">
        <v>146</v>
      </c>
    </row>
    <row r="16" spans="2:14" x14ac:dyDescent="0.3">
      <c r="B16" s="8" t="s">
        <v>57</v>
      </c>
      <c r="C16" s="14" t="s">
        <v>78</v>
      </c>
      <c r="D16" s="8" t="s">
        <v>77</v>
      </c>
      <c r="E16" s="10">
        <v>83</v>
      </c>
      <c r="F16" s="10">
        <v>72</v>
      </c>
      <c r="G16" s="10">
        <v>71</v>
      </c>
      <c r="H16" s="10">
        <v>78</v>
      </c>
      <c r="I16" s="15">
        <v>2</v>
      </c>
      <c r="J16" s="10"/>
      <c r="K16" s="8"/>
      <c r="L16" s="7"/>
      <c r="M16" s="38"/>
      <c r="N16" s="37" t="s">
        <v>145</v>
      </c>
    </row>
    <row r="17" spans="2:13" x14ac:dyDescent="0.3">
      <c r="B17" s="8" t="s">
        <v>79</v>
      </c>
      <c r="C17" s="14" t="s">
        <v>80</v>
      </c>
      <c r="D17" s="8" t="s">
        <v>52</v>
      </c>
      <c r="E17" s="10">
        <v>82</v>
      </c>
      <c r="F17" s="10">
        <v>79</v>
      </c>
      <c r="G17" s="10">
        <v>73</v>
      </c>
      <c r="H17" s="10">
        <v>88</v>
      </c>
      <c r="I17" s="15">
        <v>3</v>
      </c>
      <c r="J17" s="10"/>
      <c r="K17" s="8"/>
      <c r="L17" s="7"/>
    </row>
    <row r="18" spans="2:13" x14ac:dyDescent="0.3">
      <c r="B18" s="8" t="s">
        <v>58</v>
      </c>
      <c r="C18" s="14" t="s">
        <v>26</v>
      </c>
      <c r="D18" s="8" t="s">
        <v>52</v>
      </c>
      <c r="E18" s="10">
        <v>80</v>
      </c>
      <c r="F18" s="10">
        <v>77</v>
      </c>
      <c r="G18" s="10">
        <v>74</v>
      </c>
      <c r="H18" s="10">
        <v>95</v>
      </c>
      <c r="I18" s="15" t="s">
        <v>81</v>
      </c>
      <c r="J18" s="10"/>
      <c r="K18" s="8"/>
      <c r="L18" s="7"/>
    </row>
    <row r="19" spans="2:13" x14ac:dyDescent="0.3">
      <c r="B19" s="8" t="s">
        <v>55</v>
      </c>
      <c r="C19" s="14" t="s">
        <v>82</v>
      </c>
      <c r="D19" s="8" t="s">
        <v>83</v>
      </c>
      <c r="E19" s="10">
        <v>82</v>
      </c>
      <c r="F19" s="10">
        <v>79</v>
      </c>
      <c r="G19" s="10">
        <v>76</v>
      </c>
      <c r="H19" s="10">
        <v>65</v>
      </c>
      <c r="I19" s="15">
        <v>2</v>
      </c>
      <c r="J19" s="10"/>
      <c r="K19" s="8"/>
      <c r="L19" s="7"/>
    </row>
    <row r="20" spans="2:13" x14ac:dyDescent="0.3">
      <c r="B20" s="8" t="s">
        <v>59</v>
      </c>
      <c r="C20" s="14" t="s">
        <v>84</v>
      </c>
      <c r="D20" s="8" t="s">
        <v>85</v>
      </c>
      <c r="E20" s="10">
        <v>80</v>
      </c>
      <c r="F20" s="10">
        <v>77</v>
      </c>
      <c r="G20" s="10">
        <v>76</v>
      </c>
      <c r="H20" s="10">
        <v>70</v>
      </c>
      <c r="I20" s="15">
        <v>3</v>
      </c>
      <c r="J20" s="10"/>
      <c r="K20" s="8"/>
      <c r="L20" s="7"/>
    </row>
    <row r="21" spans="2:13" x14ac:dyDescent="0.3">
      <c r="B21" s="8" t="s">
        <v>54</v>
      </c>
      <c r="C21" s="14" t="s">
        <v>86</v>
      </c>
      <c r="D21" s="8" t="s">
        <v>87</v>
      </c>
      <c r="E21" s="10">
        <v>85</v>
      </c>
      <c r="F21" s="10">
        <v>88</v>
      </c>
      <c r="G21" s="10">
        <v>82</v>
      </c>
      <c r="H21" s="10">
        <v>95</v>
      </c>
      <c r="I21" s="15" t="s">
        <v>81</v>
      </c>
      <c r="J21" s="10"/>
      <c r="K21" s="8"/>
      <c r="L21" s="7"/>
    </row>
    <row r="22" spans="2:13" x14ac:dyDescent="0.3">
      <c r="B22" s="8" t="s">
        <v>56</v>
      </c>
      <c r="C22" s="14" t="s">
        <v>39</v>
      </c>
      <c r="D22" s="8" t="s">
        <v>52</v>
      </c>
      <c r="E22" s="10">
        <v>70</v>
      </c>
      <c r="F22" s="10">
        <v>75</v>
      </c>
      <c r="G22" s="10">
        <v>82</v>
      </c>
      <c r="H22" s="10">
        <v>65</v>
      </c>
      <c r="I22" s="15">
        <v>1</v>
      </c>
      <c r="J22" s="10"/>
      <c r="K22" s="8"/>
      <c r="L22" s="7"/>
      <c r="M22" s="7"/>
    </row>
    <row r="23" spans="2:13" x14ac:dyDescent="0.3">
      <c r="B23" s="8" t="s">
        <v>59</v>
      </c>
      <c r="C23" s="14" t="s">
        <v>18</v>
      </c>
      <c r="D23" s="8" t="s">
        <v>77</v>
      </c>
      <c r="E23" s="10">
        <v>80</v>
      </c>
      <c r="F23" s="10">
        <v>86</v>
      </c>
      <c r="G23" s="10">
        <v>86</v>
      </c>
      <c r="H23" s="10">
        <v>100</v>
      </c>
      <c r="I23" s="15" t="s">
        <v>81</v>
      </c>
      <c r="J23" s="10"/>
      <c r="K23" s="8"/>
      <c r="L23" s="7"/>
      <c r="M23" s="7"/>
    </row>
    <row r="24" spans="2:13" x14ac:dyDescent="0.3">
      <c r="B24" s="8" t="s">
        <v>54</v>
      </c>
      <c r="C24" s="14" t="s">
        <v>88</v>
      </c>
      <c r="D24" s="8" t="s">
        <v>83</v>
      </c>
      <c r="E24" s="10">
        <v>84</v>
      </c>
      <c r="F24" s="10">
        <v>58</v>
      </c>
      <c r="G24" s="10">
        <v>89</v>
      </c>
      <c r="H24" s="10">
        <v>75</v>
      </c>
      <c r="I24" s="15">
        <v>3</v>
      </c>
      <c r="J24" s="10"/>
      <c r="K24" s="8"/>
      <c r="L24" s="7"/>
      <c r="M24" s="7"/>
    </row>
    <row r="25" spans="2:13" x14ac:dyDescent="0.3">
      <c r="B25" s="8" t="s">
        <v>54</v>
      </c>
      <c r="C25" s="14" t="s">
        <v>89</v>
      </c>
      <c r="D25" s="8" t="s">
        <v>87</v>
      </c>
      <c r="E25" s="10">
        <v>80</v>
      </c>
      <c r="F25" s="10">
        <v>86</v>
      </c>
      <c r="G25" s="10">
        <v>89</v>
      </c>
      <c r="H25" s="10">
        <v>67</v>
      </c>
      <c r="I25" s="15">
        <v>3</v>
      </c>
      <c r="J25" s="10"/>
      <c r="K25" s="8"/>
      <c r="L25" s="7"/>
      <c r="M25" s="7"/>
    </row>
    <row r="26" spans="2:13" x14ac:dyDescent="0.3">
      <c r="B26" s="8" t="s">
        <v>90</v>
      </c>
      <c r="C26" s="14" t="s">
        <v>91</v>
      </c>
      <c r="D26" s="8" t="s">
        <v>77</v>
      </c>
      <c r="E26" s="10">
        <v>91</v>
      </c>
      <c r="F26" s="10">
        <v>60</v>
      </c>
      <c r="G26" s="10">
        <v>90</v>
      </c>
      <c r="H26" s="10">
        <v>98</v>
      </c>
      <c r="I26" s="15">
        <v>1</v>
      </c>
      <c r="J26" s="10"/>
      <c r="K26" s="8"/>
      <c r="L26" s="7"/>
      <c r="M26" s="7"/>
    </row>
    <row r="27" spans="2:13" x14ac:dyDescent="0.3">
      <c r="B27" s="8" t="s">
        <v>55</v>
      </c>
      <c r="C27" s="14" t="s">
        <v>28</v>
      </c>
      <c r="D27" s="8" t="s">
        <v>92</v>
      </c>
      <c r="E27" s="10">
        <v>85</v>
      </c>
      <c r="F27" s="10">
        <v>85</v>
      </c>
      <c r="G27" s="10">
        <v>93</v>
      </c>
      <c r="H27" s="10">
        <v>77</v>
      </c>
      <c r="I27" s="15">
        <v>2</v>
      </c>
      <c r="J27" s="10"/>
      <c r="K27" s="8"/>
      <c r="L27" s="7"/>
      <c r="M27" s="7"/>
    </row>
    <row r="28" spans="2:13" x14ac:dyDescent="0.3">
      <c r="B28" s="8" t="s">
        <v>90</v>
      </c>
      <c r="C28" s="14" t="s">
        <v>41</v>
      </c>
      <c r="D28" s="8" t="s">
        <v>50</v>
      </c>
      <c r="E28" s="10">
        <v>86</v>
      </c>
      <c r="F28" s="10">
        <v>67</v>
      </c>
      <c r="G28" s="10">
        <v>94</v>
      </c>
      <c r="H28" s="10">
        <v>88</v>
      </c>
      <c r="I28" s="15">
        <v>1</v>
      </c>
      <c r="J28" s="10"/>
      <c r="K28" s="8"/>
      <c r="L28" s="7"/>
      <c r="M28" s="7"/>
    </row>
    <row r="29" spans="2:13" x14ac:dyDescent="0.3">
      <c r="B29" s="8" t="s">
        <v>56</v>
      </c>
      <c r="C29" s="14" t="s">
        <v>37</v>
      </c>
      <c r="D29" s="8" t="s">
        <v>87</v>
      </c>
      <c r="E29" s="10">
        <v>80</v>
      </c>
      <c r="F29" s="10">
        <v>55</v>
      </c>
      <c r="G29" s="10">
        <v>96</v>
      </c>
      <c r="H29" s="10">
        <v>90</v>
      </c>
      <c r="I29" s="15" t="s">
        <v>81</v>
      </c>
      <c r="J29" s="10"/>
      <c r="K29" s="8"/>
      <c r="L29" s="7"/>
      <c r="M29" s="7"/>
    </row>
    <row r="30" spans="2:13" x14ac:dyDescent="0.3">
      <c r="B30" s="8" t="s">
        <v>54</v>
      </c>
      <c r="C30" s="14" t="s">
        <v>93</v>
      </c>
      <c r="D30" s="8" t="s">
        <v>83</v>
      </c>
      <c r="E30" s="10">
        <v>83</v>
      </c>
      <c r="F30" s="10">
        <v>66</v>
      </c>
      <c r="G30" s="10">
        <v>96</v>
      </c>
      <c r="H30" s="10">
        <v>67</v>
      </c>
      <c r="I30" s="15">
        <v>3</v>
      </c>
      <c r="J30" s="10"/>
      <c r="K30" s="8"/>
      <c r="L30" s="7"/>
      <c r="M30" s="7"/>
    </row>
    <row r="31" spans="2:13" x14ac:dyDescent="0.3">
      <c r="B31" s="8" t="s">
        <v>59</v>
      </c>
      <c r="C31" s="14" t="s">
        <v>94</v>
      </c>
      <c r="D31" s="8" t="s">
        <v>51</v>
      </c>
      <c r="E31" s="10">
        <v>58</v>
      </c>
      <c r="F31" s="10">
        <v>88</v>
      </c>
      <c r="G31" s="10">
        <v>98</v>
      </c>
      <c r="H31" s="10">
        <v>98</v>
      </c>
      <c r="I31" s="15">
        <v>1</v>
      </c>
      <c r="J31" s="10"/>
      <c r="K31" s="8"/>
      <c r="L31" s="7"/>
      <c r="M31" s="7"/>
    </row>
    <row r="32" spans="2:13" x14ac:dyDescent="0.3">
      <c r="B32" s="8" t="s">
        <v>59</v>
      </c>
      <c r="C32" s="14" t="s">
        <v>95</v>
      </c>
      <c r="D32" s="8" t="s">
        <v>87</v>
      </c>
      <c r="E32" s="10">
        <v>47</v>
      </c>
      <c r="F32" s="10">
        <v>69</v>
      </c>
      <c r="G32" s="10">
        <v>90</v>
      </c>
      <c r="H32" s="10">
        <v>83</v>
      </c>
      <c r="I32" s="15" t="s">
        <v>75</v>
      </c>
      <c r="J32" s="10"/>
      <c r="K32" s="8"/>
      <c r="L32" s="7"/>
      <c r="M32" s="7"/>
    </row>
    <row r="33" spans="2:13" x14ac:dyDescent="0.3">
      <c r="B33" s="8" t="s">
        <v>59</v>
      </c>
      <c r="C33" s="14" t="s">
        <v>32</v>
      </c>
      <c r="D33" s="8" t="s">
        <v>87</v>
      </c>
      <c r="E33" s="10">
        <v>56</v>
      </c>
      <c r="F33" s="10">
        <v>92</v>
      </c>
      <c r="G33" s="10">
        <v>91</v>
      </c>
      <c r="H33" s="10">
        <v>97</v>
      </c>
      <c r="I33" s="15">
        <v>2</v>
      </c>
      <c r="J33" s="10"/>
      <c r="K33" s="8"/>
      <c r="L33" s="7"/>
      <c r="M33" s="7"/>
    </row>
    <row r="34" spans="2:13" x14ac:dyDescent="0.3">
      <c r="B34" s="8" t="s">
        <v>79</v>
      </c>
      <c r="C34" s="14" t="s">
        <v>96</v>
      </c>
      <c r="D34" s="8" t="s">
        <v>77</v>
      </c>
      <c r="E34" s="10">
        <v>87</v>
      </c>
      <c r="F34" s="10">
        <v>57</v>
      </c>
      <c r="G34" s="10">
        <v>91</v>
      </c>
      <c r="H34" s="10">
        <v>83</v>
      </c>
      <c r="I34" s="15">
        <v>2</v>
      </c>
      <c r="J34" s="10"/>
      <c r="K34" s="8"/>
      <c r="L34" s="7"/>
      <c r="M34" s="7"/>
    </row>
    <row r="35" spans="2:13" x14ac:dyDescent="0.3">
      <c r="B35" s="8" t="s">
        <v>79</v>
      </c>
      <c r="C35" s="14" t="s">
        <v>11</v>
      </c>
      <c r="D35" s="8" t="s">
        <v>83</v>
      </c>
      <c r="E35" s="10">
        <v>84</v>
      </c>
      <c r="F35" s="10">
        <v>74</v>
      </c>
      <c r="G35" s="10">
        <v>92</v>
      </c>
      <c r="H35" s="10">
        <v>98</v>
      </c>
      <c r="I35" s="15">
        <v>2</v>
      </c>
      <c r="J35" s="10"/>
      <c r="K35" s="8"/>
      <c r="L35" s="7"/>
      <c r="M35" s="7"/>
    </row>
    <row r="36" spans="2:13" x14ac:dyDescent="0.3">
      <c r="B36" s="8" t="s">
        <v>90</v>
      </c>
      <c r="C36" s="14" t="s">
        <v>97</v>
      </c>
      <c r="D36" s="8" t="s">
        <v>77</v>
      </c>
      <c r="E36" s="10">
        <v>94</v>
      </c>
      <c r="F36" s="10">
        <v>57</v>
      </c>
      <c r="G36" s="10">
        <v>94</v>
      </c>
      <c r="H36" s="10">
        <v>100</v>
      </c>
      <c r="I36" s="15">
        <v>1</v>
      </c>
      <c r="J36" s="10"/>
      <c r="K36" s="8"/>
      <c r="L36" s="7"/>
      <c r="M36" s="7"/>
    </row>
    <row r="37" spans="2:13" x14ac:dyDescent="0.3">
      <c r="B37" s="8" t="s">
        <v>90</v>
      </c>
      <c r="C37" s="14" t="s">
        <v>98</v>
      </c>
      <c r="D37" s="8" t="s">
        <v>51</v>
      </c>
      <c r="E37" s="10">
        <v>81</v>
      </c>
      <c r="F37" s="10">
        <v>75</v>
      </c>
      <c r="G37" s="10">
        <v>96</v>
      </c>
      <c r="H37" s="10">
        <v>87</v>
      </c>
      <c r="I37" s="15" t="s">
        <v>81</v>
      </c>
      <c r="J37" s="10"/>
      <c r="K37" s="8"/>
      <c r="L37" s="7"/>
      <c r="M37" s="7"/>
    </row>
    <row r="38" spans="2:13" x14ac:dyDescent="0.3">
      <c r="B38" s="8" t="s">
        <v>58</v>
      </c>
      <c r="C38" s="14" t="s">
        <v>30</v>
      </c>
      <c r="D38" s="8" t="s">
        <v>83</v>
      </c>
      <c r="E38" s="10">
        <v>80</v>
      </c>
      <c r="F38" s="10">
        <v>57</v>
      </c>
      <c r="G38" s="10">
        <v>97</v>
      </c>
      <c r="H38" s="10">
        <v>75</v>
      </c>
      <c r="I38" s="15">
        <v>2</v>
      </c>
      <c r="J38" s="10"/>
      <c r="K38" s="8"/>
      <c r="L38" s="7"/>
      <c r="M38" s="7"/>
    </row>
    <row r="39" spans="2:13" x14ac:dyDescent="0.3"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F1"/>
  <sheetViews>
    <sheetView workbookViewId="0"/>
  </sheetViews>
  <sheetFormatPr defaultRowHeight="16.5" x14ac:dyDescent="0.3"/>
  <sheetData>
    <row r="1" spans="1:6" x14ac:dyDescent="0.3">
      <c r="A1" s="35" t="s">
        <v>147</v>
      </c>
      <c r="F1" s="39" t="s">
        <v>148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5:H27"/>
  <sheetViews>
    <sheetView workbookViewId="0"/>
  </sheetViews>
  <sheetFormatPr defaultRowHeight="16.5" x14ac:dyDescent="0.3"/>
  <cols>
    <col min="5" max="5" width="10.625" bestFit="1" customWidth="1"/>
    <col min="7" max="7" width="10.625" bestFit="1" customWidth="1"/>
  </cols>
  <sheetData>
    <row r="5" spans="2:8" x14ac:dyDescent="0.3">
      <c r="B5" s="32" t="s">
        <v>46</v>
      </c>
      <c r="C5" s="32" t="s">
        <v>2</v>
      </c>
      <c r="D5" s="32" t="s">
        <v>69</v>
      </c>
      <c r="E5" s="33" t="s">
        <v>5</v>
      </c>
      <c r="F5" s="33" t="s">
        <v>6</v>
      </c>
      <c r="G5" s="33" t="s">
        <v>7</v>
      </c>
      <c r="H5" s="33" t="s">
        <v>8</v>
      </c>
    </row>
    <row r="6" spans="2:8" x14ac:dyDescent="0.3">
      <c r="B6" s="8" t="s">
        <v>54</v>
      </c>
      <c r="C6" s="3" t="s">
        <v>80</v>
      </c>
      <c r="D6" s="8" t="s">
        <v>52</v>
      </c>
      <c r="E6" s="34">
        <v>82</v>
      </c>
      <c r="F6" s="34">
        <v>79</v>
      </c>
      <c r="G6" s="34">
        <v>73</v>
      </c>
      <c r="H6" s="34">
        <v>88</v>
      </c>
    </row>
    <row r="7" spans="2:8" x14ac:dyDescent="0.3">
      <c r="B7" s="8" t="s">
        <v>58</v>
      </c>
      <c r="C7" s="3" t="s">
        <v>26</v>
      </c>
      <c r="D7" s="8" t="s">
        <v>52</v>
      </c>
      <c r="E7" s="34">
        <v>80</v>
      </c>
      <c r="F7" s="34">
        <v>77</v>
      </c>
      <c r="G7" s="34">
        <v>74</v>
      </c>
      <c r="H7" s="34">
        <v>95</v>
      </c>
    </row>
    <row r="8" spans="2:8" x14ac:dyDescent="0.3">
      <c r="B8" s="8" t="s">
        <v>56</v>
      </c>
      <c r="C8" s="3" t="s">
        <v>39</v>
      </c>
      <c r="D8" s="8" t="s">
        <v>52</v>
      </c>
      <c r="E8" s="34">
        <v>70</v>
      </c>
      <c r="F8" s="34">
        <v>75</v>
      </c>
      <c r="G8" s="34">
        <v>82</v>
      </c>
      <c r="H8" s="34">
        <v>65</v>
      </c>
    </row>
    <row r="9" spans="2:8" x14ac:dyDescent="0.3">
      <c r="B9" s="8" t="s">
        <v>56</v>
      </c>
      <c r="C9" s="3" t="s">
        <v>43</v>
      </c>
      <c r="D9" s="8" t="s">
        <v>51</v>
      </c>
      <c r="E9" s="34">
        <v>27</v>
      </c>
      <c r="F9" s="34">
        <v>65</v>
      </c>
      <c r="G9" s="34">
        <v>43</v>
      </c>
      <c r="H9" s="34">
        <v>68</v>
      </c>
    </row>
    <row r="10" spans="2:8" x14ac:dyDescent="0.3">
      <c r="B10" s="8" t="s">
        <v>55</v>
      </c>
      <c r="C10" s="3" t="s">
        <v>82</v>
      </c>
      <c r="D10" s="8" t="s">
        <v>51</v>
      </c>
      <c r="E10" s="34">
        <v>82</v>
      </c>
      <c r="F10" s="34">
        <v>79</v>
      </c>
      <c r="G10" s="34">
        <v>76</v>
      </c>
      <c r="H10" s="34">
        <v>65</v>
      </c>
    </row>
    <row r="11" spans="2:8" x14ac:dyDescent="0.3">
      <c r="B11" s="8" t="s">
        <v>54</v>
      </c>
      <c r="C11" s="3" t="s">
        <v>15</v>
      </c>
      <c r="D11" s="8" t="s">
        <v>51</v>
      </c>
      <c r="E11" s="34">
        <v>84</v>
      </c>
      <c r="F11" s="34">
        <v>58</v>
      </c>
      <c r="G11" s="34">
        <v>89</v>
      </c>
      <c r="H11" s="34">
        <v>75</v>
      </c>
    </row>
    <row r="12" spans="2:8" x14ac:dyDescent="0.3">
      <c r="B12" s="8" t="s">
        <v>58</v>
      </c>
      <c r="C12" s="3" t="s">
        <v>94</v>
      </c>
      <c r="D12" s="8" t="s">
        <v>51</v>
      </c>
      <c r="E12" s="34">
        <v>58</v>
      </c>
      <c r="F12" s="34">
        <v>88</v>
      </c>
      <c r="G12" s="34">
        <v>98</v>
      </c>
      <c r="H12" s="34">
        <v>98</v>
      </c>
    </row>
    <row r="13" spans="2:8" x14ac:dyDescent="0.3">
      <c r="B13" s="8" t="s">
        <v>54</v>
      </c>
      <c r="C13" s="3" t="s">
        <v>11</v>
      </c>
      <c r="D13" s="8" t="s">
        <v>51</v>
      </c>
      <c r="E13" s="34">
        <v>84</v>
      </c>
      <c r="F13" s="34">
        <v>74</v>
      </c>
      <c r="G13" s="34">
        <v>92</v>
      </c>
      <c r="H13" s="34">
        <v>98</v>
      </c>
    </row>
    <row r="14" spans="2:8" x14ac:dyDescent="0.3">
      <c r="B14" s="8" t="s">
        <v>55</v>
      </c>
      <c r="C14" s="3" t="s">
        <v>98</v>
      </c>
      <c r="D14" s="8" t="s">
        <v>51</v>
      </c>
      <c r="E14" s="34">
        <v>81</v>
      </c>
      <c r="F14" s="34">
        <v>75</v>
      </c>
      <c r="G14" s="34">
        <v>96</v>
      </c>
      <c r="H14" s="34">
        <v>87</v>
      </c>
    </row>
    <row r="15" spans="2:8" x14ac:dyDescent="0.3">
      <c r="B15" s="8" t="s">
        <v>58</v>
      </c>
      <c r="C15" s="3" t="s">
        <v>30</v>
      </c>
      <c r="D15" s="8" t="s">
        <v>51</v>
      </c>
      <c r="E15" s="34">
        <v>80</v>
      </c>
      <c r="F15" s="34">
        <v>57</v>
      </c>
      <c r="G15" s="34">
        <v>97</v>
      </c>
      <c r="H15" s="34">
        <v>75</v>
      </c>
    </row>
    <row r="16" spans="2:8" x14ac:dyDescent="0.3">
      <c r="B16" s="8" t="s">
        <v>58</v>
      </c>
      <c r="C16" s="3" t="s">
        <v>76</v>
      </c>
      <c r="D16" s="8" t="s">
        <v>77</v>
      </c>
      <c r="E16" s="34">
        <v>80</v>
      </c>
      <c r="F16" s="34">
        <v>73</v>
      </c>
      <c r="G16" s="34">
        <v>61</v>
      </c>
      <c r="H16" s="34">
        <v>75</v>
      </c>
    </row>
    <row r="17" spans="2:8" x14ac:dyDescent="0.3">
      <c r="B17" s="8" t="s">
        <v>56</v>
      </c>
      <c r="C17" s="3" t="s">
        <v>78</v>
      </c>
      <c r="D17" s="8" t="s">
        <v>77</v>
      </c>
      <c r="E17" s="34">
        <v>83</v>
      </c>
      <c r="F17" s="34">
        <v>72</v>
      </c>
      <c r="G17" s="34">
        <v>71</v>
      </c>
      <c r="H17" s="34">
        <v>78</v>
      </c>
    </row>
    <row r="18" spans="2:8" x14ac:dyDescent="0.3">
      <c r="B18" s="8" t="s">
        <v>55</v>
      </c>
      <c r="C18" s="3" t="s">
        <v>91</v>
      </c>
      <c r="D18" s="8" t="s">
        <v>77</v>
      </c>
      <c r="E18" s="34">
        <v>91</v>
      </c>
      <c r="F18" s="34">
        <v>60</v>
      </c>
      <c r="G18" s="34">
        <v>90</v>
      </c>
      <c r="H18" s="34">
        <v>98</v>
      </c>
    </row>
    <row r="19" spans="2:8" x14ac:dyDescent="0.3">
      <c r="B19" s="8" t="s">
        <v>54</v>
      </c>
      <c r="C19" s="3" t="s">
        <v>96</v>
      </c>
      <c r="D19" s="8" t="s">
        <v>77</v>
      </c>
      <c r="E19" s="34">
        <v>87</v>
      </c>
      <c r="F19" s="34">
        <v>57</v>
      </c>
      <c r="G19" s="34">
        <v>91</v>
      </c>
      <c r="H19" s="34">
        <v>83</v>
      </c>
    </row>
    <row r="20" spans="2:8" x14ac:dyDescent="0.3">
      <c r="B20" s="8" t="s">
        <v>55</v>
      </c>
      <c r="C20" s="3" t="s">
        <v>97</v>
      </c>
      <c r="D20" s="8" t="s">
        <v>77</v>
      </c>
      <c r="E20" s="34">
        <v>94</v>
      </c>
      <c r="F20" s="34">
        <v>57</v>
      </c>
      <c r="G20" s="34">
        <v>94</v>
      </c>
      <c r="H20" s="34">
        <v>100</v>
      </c>
    </row>
    <row r="21" spans="2:8" x14ac:dyDescent="0.3">
      <c r="B21" s="8" t="s">
        <v>58</v>
      </c>
      <c r="C21" s="3" t="s">
        <v>84</v>
      </c>
      <c r="D21" s="8" t="s">
        <v>50</v>
      </c>
      <c r="E21" s="34">
        <v>80</v>
      </c>
      <c r="F21" s="34">
        <v>77</v>
      </c>
      <c r="G21" s="34">
        <v>76</v>
      </c>
      <c r="H21" s="34">
        <v>70</v>
      </c>
    </row>
    <row r="22" spans="2:8" x14ac:dyDescent="0.3">
      <c r="B22" s="8" t="s">
        <v>54</v>
      </c>
      <c r="C22" s="3" t="s">
        <v>86</v>
      </c>
      <c r="D22" s="8" t="s">
        <v>50</v>
      </c>
      <c r="E22" s="34">
        <v>85</v>
      </c>
      <c r="F22" s="34">
        <v>88</v>
      </c>
      <c r="G22" s="34">
        <v>82</v>
      </c>
      <c r="H22" s="34">
        <v>95</v>
      </c>
    </row>
    <row r="23" spans="2:8" x14ac:dyDescent="0.3">
      <c r="B23" s="8" t="s">
        <v>54</v>
      </c>
      <c r="C23" s="3" t="s">
        <v>89</v>
      </c>
      <c r="D23" s="8" t="s">
        <v>50</v>
      </c>
      <c r="E23" s="34">
        <v>80</v>
      </c>
      <c r="F23" s="34">
        <v>86</v>
      </c>
      <c r="G23" s="34">
        <v>89</v>
      </c>
      <c r="H23" s="34">
        <v>67</v>
      </c>
    </row>
    <row r="24" spans="2:8" x14ac:dyDescent="0.3">
      <c r="B24" s="8" t="s">
        <v>55</v>
      </c>
      <c r="C24" s="3" t="s">
        <v>41</v>
      </c>
      <c r="D24" s="8" t="s">
        <v>50</v>
      </c>
      <c r="E24" s="34">
        <v>86</v>
      </c>
      <c r="F24" s="34">
        <v>67</v>
      </c>
      <c r="G24" s="34">
        <v>94</v>
      </c>
      <c r="H24" s="34">
        <v>88</v>
      </c>
    </row>
    <row r="25" spans="2:8" x14ac:dyDescent="0.3">
      <c r="B25" s="8" t="s">
        <v>56</v>
      </c>
      <c r="C25" s="3" t="s">
        <v>37</v>
      </c>
      <c r="D25" s="8" t="s">
        <v>50</v>
      </c>
      <c r="E25" s="34">
        <v>80</v>
      </c>
      <c r="F25" s="34">
        <v>55</v>
      </c>
      <c r="G25" s="34">
        <v>96</v>
      </c>
      <c r="H25" s="34">
        <v>90</v>
      </c>
    </row>
    <row r="26" spans="2:8" x14ac:dyDescent="0.3">
      <c r="B26" s="8" t="s">
        <v>58</v>
      </c>
      <c r="C26" s="3" t="s">
        <v>95</v>
      </c>
      <c r="D26" s="8" t="s">
        <v>50</v>
      </c>
      <c r="E26" s="34">
        <v>47</v>
      </c>
      <c r="F26" s="34">
        <v>69</v>
      </c>
      <c r="G26" s="34">
        <v>90</v>
      </c>
      <c r="H26" s="34">
        <v>83</v>
      </c>
    </row>
    <row r="27" spans="2:8" x14ac:dyDescent="0.3">
      <c r="B27" s="8" t="s">
        <v>58</v>
      </c>
      <c r="C27" s="3" t="s">
        <v>32</v>
      </c>
      <c r="D27" s="8" t="s">
        <v>50</v>
      </c>
      <c r="E27" s="34">
        <v>56</v>
      </c>
      <c r="F27" s="34">
        <v>92</v>
      </c>
      <c r="G27" s="34">
        <v>91</v>
      </c>
      <c r="H27" s="34">
        <v>97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I40"/>
  <sheetViews>
    <sheetView workbookViewId="0"/>
  </sheetViews>
  <sheetFormatPr defaultRowHeight="16.5" x14ac:dyDescent="0.3"/>
  <cols>
    <col min="1" max="1" width="3.625" customWidth="1"/>
    <col min="5" max="5" width="10.375" bestFit="1" customWidth="1"/>
    <col min="7" max="7" width="10.375" bestFit="1" customWidth="1"/>
  </cols>
  <sheetData>
    <row r="1" spans="2:9" ht="31.5" x14ac:dyDescent="0.3">
      <c r="B1" s="42" t="s">
        <v>120</v>
      </c>
      <c r="C1" s="42"/>
      <c r="D1" s="42"/>
      <c r="E1" s="42"/>
      <c r="F1" s="42"/>
      <c r="G1" s="42"/>
      <c r="H1" s="42"/>
      <c r="I1" s="42"/>
    </row>
    <row r="2" spans="2:9" x14ac:dyDescent="0.3">
      <c r="B2" s="26"/>
      <c r="C2" s="26"/>
      <c r="D2" s="26"/>
      <c r="E2" s="26"/>
      <c r="F2" s="26"/>
      <c r="G2" s="26"/>
      <c r="H2" s="26"/>
      <c r="I2" s="26"/>
    </row>
    <row r="3" spans="2:9" x14ac:dyDescent="0.3">
      <c r="B3" s="2" t="s">
        <v>1</v>
      </c>
      <c r="C3" s="2" t="s">
        <v>121</v>
      </c>
      <c r="D3" s="2" t="s">
        <v>3</v>
      </c>
      <c r="E3" s="2" t="s">
        <v>102</v>
      </c>
      <c r="F3" s="2" t="s">
        <v>70</v>
      </c>
      <c r="G3" s="2" t="s">
        <v>122</v>
      </c>
      <c r="H3" s="2" t="s">
        <v>65</v>
      </c>
      <c r="I3" s="2" t="s">
        <v>123</v>
      </c>
    </row>
    <row r="4" spans="2:9" x14ac:dyDescent="0.3">
      <c r="B4" s="3" t="s">
        <v>22</v>
      </c>
      <c r="C4" s="3" t="s">
        <v>23</v>
      </c>
      <c r="D4" s="3" t="s">
        <v>24</v>
      </c>
      <c r="E4" s="4">
        <v>32</v>
      </c>
      <c r="F4" s="4">
        <v>70</v>
      </c>
      <c r="G4" s="4">
        <v>32</v>
      </c>
      <c r="H4" s="4">
        <v>63</v>
      </c>
      <c r="I4" s="5">
        <f>SUM(E4:H4)</f>
        <v>197</v>
      </c>
    </row>
    <row r="5" spans="2:9" x14ac:dyDescent="0.3">
      <c r="B5" s="3" t="s">
        <v>29</v>
      </c>
      <c r="C5" s="3" t="s">
        <v>30</v>
      </c>
      <c r="D5" s="3" t="s">
        <v>24</v>
      </c>
      <c r="E5" s="4">
        <v>50</v>
      </c>
      <c r="F5" s="4">
        <v>58</v>
      </c>
      <c r="G5" s="4">
        <v>88</v>
      </c>
      <c r="H5" s="4">
        <v>50</v>
      </c>
      <c r="I5" s="5">
        <f t="shared" ref="I5:I12" si="0">SUM(E5:H5)</f>
        <v>246</v>
      </c>
    </row>
    <row r="6" spans="2:9" x14ac:dyDescent="0.3">
      <c r="B6" s="3" t="s">
        <v>27</v>
      </c>
      <c r="C6" s="3" t="s">
        <v>28</v>
      </c>
      <c r="D6" s="3" t="s">
        <v>24</v>
      </c>
      <c r="E6" s="4">
        <v>77</v>
      </c>
      <c r="F6" s="4">
        <v>78</v>
      </c>
      <c r="G6" s="4">
        <v>71</v>
      </c>
      <c r="H6" s="4">
        <v>62</v>
      </c>
      <c r="I6" s="5">
        <f t="shared" si="0"/>
        <v>288</v>
      </c>
    </row>
    <row r="7" spans="2:9" x14ac:dyDescent="0.3">
      <c r="B7" s="3" t="s">
        <v>10</v>
      </c>
      <c r="C7" s="3" t="s">
        <v>11</v>
      </c>
      <c r="D7" s="3" t="s">
        <v>12</v>
      </c>
      <c r="E7" s="4">
        <v>82</v>
      </c>
      <c r="F7" s="4">
        <v>90</v>
      </c>
      <c r="G7" s="4">
        <v>75</v>
      </c>
      <c r="H7" s="4">
        <v>71</v>
      </c>
      <c r="I7" s="5">
        <f t="shared" si="0"/>
        <v>318</v>
      </c>
    </row>
    <row r="8" spans="2:9" x14ac:dyDescent="0.3">
      <c r="B8" s="3" t="s">
        <v>25</v>
      </c>
      <c r="C8" s="3" t="s">
        <v>112</v>
      </c>
      <c r="D8" s="3" t="s">
        <v>24</v>
      </c>
      <c r="E8" s="4">
        <v>85</v>
      </c>
      <c r="F8" s="4">
        <v>60</v>
      </c>
      <c r="G8" s="4">
        <v>85</v>
      </c>
      <c r="H8" s="4">
        <v>85</v>
      </c>
      <c r="I8" s="5">
        <f t="shared" si="0"/>
        <v>315</v>
      </c>
    </row>
    <row r="9" spans="2:9" x14ac:dyDescent="0.3">
      <c r="B9" s="3" t="s">
        <v>36</v>
      </c>
      <c r="C9" s="3" t="s">
        <v>37</v>
      </c>
      <c r="D9" s="3" t="s">
        <v>35</v>
      </c>
      <c r="E9" s="4">
        <v>86</v>
      </c>
      <c r="F9" s="4">
        <v>80</v>
      </c>
      <c r="G9" s="4">
        <v>95</v>
      </c>
      <c r="H9" s="4">
        <v>82</v>
      </c>
      <c r="I9" s="5">
        <f t="shared" si="0"/>
        <v>343</v>
      </c>
    </row>
    <row r="10" spans="2:9" x14ac:dyDescent="0.3">
      <c r="B10" s="3" t="s">
        <v>17</v>
      </c>
      <c r="C10" s="3" t="s">
        <v>18</v>
      </c>
      <c r="D10" s="3" t="s">
        <v>19</v>
      </c>
      <c r="E10" s="4">
        <v>89</v>
      </c>
      <c r="F10" s="4">
        <v>50</v>
      </c>
      <c r="G10" s="4">
        <v>78</v>
      </c>
      <c r="H10" s="4">
        <v>90</v>
      </c>
      <c r="I10" s="5">
        <f t="shared" si="0"/>
        <v>307</v>
      </c>
    </row>
    <row r="11" spans="2:9" x14ac:dyDescent="0.3">
      <c r="B11" s="3" t="s">
        <v>38</v>
      </c>
      <c r="C11" s="3" t="s">
        <v>39</v>
      </c>
      <c r="D11" s="3" t="s">
        <v>35</v>
      </c>
      <c r="E11" s="4">
        <v>93</v>
      </c>
      <c r="F11" s="4">
        <v>95</v>
      </c>
      <c r="G11" s="4">
        <v>78</v>
      </c>
      <c r="H11" s="4">
        <v>79</v>
      </c>
      <c r="I11" s="5">
        <f t="shared" si="0"/>
        <v>345</v>
      </c>
    </row>
    <row r="12" spans="2:9" x14ac:dyDescent="0.3">
      <c r="B12" s="3" t="s">
        <v>33</v>
      </c>
      <c r="C12" s="3" t="s">
        <v>34</v>
      </c>
      <c r="D12" s="3" t="s">
        <v>35</v>
      </c>
      <c r="E12" s="4">
        <v>99</v>
      </c>
      <c r="F12" s="4">
        <v>62</v>
      </c>
      <c r="G12" s="4">
        <v>93</v>
      </c>
      <c r="H12" s="4">
        <v>95</v>
      </c>
      <c r="I12" s="5">
        <f t="shared" si="0"/>
        <v>349</v>
      </c>
    </row>
    <row r="36" spans="2:2" x14ac:dyDescent="0.3">
      <c r="B36" t="s">
        <v>149</v>
      </c>
    </row>
    <row r="37" spans="2:2" x14ac:dyDescent="0.3">
      <c r="B37" t="s">
        <v>150</v>
      </c>
    </row>
    <row r="38" spans="2:2" x14ac:dyDescent="0.3">
      <c r="B38" t="s">
        <v>151</v>
      </c>
    </row>
    <row r="39" spans="2:2" x14ac:dyDescent="0.3">
      <c r="B39" t="s">
        <v>152</v>
      </c>
    </row>
    <row r="40" spans="2:2" x14ac:dyDescent="0.3">
      <c r="B40" t="s">
        <v>153</v>
      </c>
    </row>
  </sheetData>
  <mergeCells count="1">
    <mergeCell ref="B1:I1"/>
  </mergeCells>
  <phoneticPr fontId="1" type="noConversion"/>
  <conditionalFormatting sqref="B9:H12">
    <cfRule type="expression" dxfId="0" priority="1" stopIfTrue="1">
      <formula>AND(#REF!="대리",$I9&gt;=300)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5:I30"/>
  <sheetViews>
    <sheetView tabSelected="1" zoomScaleNormal="100" workbookViewId="0">
      <selection activeCell="J7" sqref="J7"/>
    </sheetView>
  </sheetViews>
  <sheetFormatPr defaultRowHeight="16.5" x14ac:dyDescent="0.3"/>
  <cols>
    <col min="5" max="5" width="10.625" bestFit="1" customWidth="1"/>
    <col min="7" max="7" width="10.625" bestFit="1" customWidth="1"/>
    <col min="9" max="9" width="10" bestFit="1" customWidth="1"/>
  </cols>
  <sheetData>
    <row r="5" spans="2:9" x14ac:dyDescent="0.3">
      <c r="B5" s="17" t="s">
        <v>99</v>
      </c>
      <c r="C5" s="17" t="s">
        <v>100</v>
      </c>
      <c r="D5" s="17" t="s">
        <v>101</v>
      </c>
      <c r="E5" s="18" t="s">
        <v>102</v>
      </c>
      <c r="F5" s="18" t="s">
        <v>103</v>
      </c>
      <c r="G5" s="18" t="s">
        <v>104</v>
      </c>
      <c r="H5" s="18" t="s">
        <v>105</v>
      </c>
      <c r="I5" s="19" t="s">
        <v>106</v>
      </c>
    </row>
    <row r="6" spans="2:9" x14ac:dyDescent="0.3">
      <c r="B6" s="20" t="s">
        <v>107</v>
      </c>
      <c r="C6" s="21" t="s">
        <v>43</v>
      </c>
      <c r="D6" s="20" t="s">
        <v>108</v>
      </c>
      <c r="E6" s="43">
        <v>27</v>
      </c>
      <c r="F6" s="43">
        <v>65</v>
      </c>
      <c r="G6" s="43">
        <v>43</v>
      </c>
      <c r="H6" s="43">
        <v>68</v>
      </c>
      <c r="I6" s="22" t="s">
        <v>109</v>
      </c>
    </row>
    <row r="7" spans="2:9" x14ac:dyDescent="0.3">
      <c r="B7" s="20" t="s">
        <v>110</v>
      </c>
      <c r="C7" s="21" t="s">
        <v>76</v>
      </c>
      <c r="D7" s="20" t="s">
        <v>77</v>
      </c>
      <c r="E7" s="43">
        <v>80</v>
      </c>
      <c r="F7" s="43">
        <v>73</v>
      </c>
      <c r="G7" s="43">
        <v>61</v>
      </c>
      <c r="H7" s="43">
        <v>75</v>
      </c>
      <c r="I7" s="22">
        <v>1</v>
      </c>
    </row>
    <row r="8" spans="2:9" x14ac:dyDescent="0.3">
      <c r="B8" s="20" t="s">
        <v>107</v>
      </c>
      <c r="C8" s="21" t="s">
        <v>78</v>
      </c>
      <c r="D8" s="20" t="s">
        <v>77</v>
      </c>
      <c r="E8" s="43">
        <v>83</v>
      </c>
      <c r="F8" s="43">
        <v>72</v>
      </c>
      <c r="G8" s="43">
        <v>71</v>
      </c>
      <c r="H8" s="43">
        <v>78</v>
      </c>
      <c r="I8" s="22">
        <v>2</v>
      </c>
    </row>
    <row r="9" spans="2:9" x14ac:dyDescent="0.3">
      <c r="B9" s="20" t="s">
        <v>54</v>
      </c>
      <c r="C9" s="21" t="s">
        <v>111</v>
      </c>
      <c r="D9" s="20" t="s">
        <v>52</v>
      </c>
      <c r="E9" s="43">
        <v>82</v>
      </c>
      <c r="F9" s="43">
        <v>79</v>
      </c>
      <c r="G9" s="43">
        <v>73</v>
      </c>
      <c r="H9" s="43">
        <v>88</v>
      </c>
      <c r="I9" s="22">
        <v>3</v>
      </c>
    </row>
    <row r="10" spans="2:9" x14ac:dyDescent="0.3">
      <c r="B10" s="20" t="s">
        <v>110</v>
      </c>
      <c r="C10" s="21" t="s">
        <v>112</v>
      </c>
      <c r="D10" s="20" t="s">
        <v>113</v>
      </c>
      <c r="E10" s="43">
        <v>80</v>
      </c>
      <c r="F10" s="43">
        <v>77</v>
      </c>
      <c r="G10" s="43">
        <v>74</v>
      </c>
      <c r="H10" s="43">
        <v>95</v>
      </c>
      <c r="I10" s="22" t="s">
        <v>109</v>
      </c>
    </row>
    <row r="11" spans="2:9" x14ac:dyDescent="0.3">
      <c r="B11" s="20" t="s">
        <v>114</v>
      </c>
      <c r="C11" s="21" t="s">
        <v>82</v>
      </c>
      <c r="D11" s="20" t="s">
        <v>108</v>
      </c>
      <c r="E11" s="43">
        <v>82</v>
      </c>
      <c r="F11" s="43">
        <v>79</v>
      </c>
      <c r="G11" s="43">
        <v>76</v>
      </c>
      <c r="H11" s="43">
        <v>65</v>
      </c>
      <c r="I11" s="22">
        <v>2</v>
      </c>
    </row>
    <row r="12" spans="2:9" x14ac:dyDescent="0.3">
      <c r="B12" s="20" t="s">
        <v>115</v>
      </c>
      <c r="C12" s="21" t="s">
        <v>84</v>
      </c>
      <c r="D12" s="20" t="s">
        <v>116</v>
      </c>
      <c r="E12" s="43">
        <v>80</v>
      </c>
      <c r="F12" s="43">
        <v>77</v>
      </c>
      <c r="G12" s="43">
        <v>76</v>
      </c>
      <c r="H12" s="43">
        <v>70</v>
      </c>
      <c r="I12" s="22">
        <v>3</v>
      </c>
    </row>
    <row r="13" spans="2:9" x14ac:dyDescent="0.3">
      <c r="B13" s="20" t="s">
        <v>117</v>
      </c>
      <c r="C13" s="21" t="s">
        <v>86</v>
      </c>
      <c r="D13" s="20" t="s">
        <v>118</v>
      </c>
      <c r="E13" s="43">
        <v>85</v>
      </c>
      <c r="F13" s="43">
        <v>88</v>
      </c>
      <c r="G13" s="43">
        <v>82</v>
      </c>
      <c r="H13" s="43">
        <v>95</v>
      </c>
      <c r="I13" s="22" t="s">
        <v>109</v>
      </c>
    </row>
    <row r="14" spans="2:9" x14ac:dyDescent="0.3">
      <c r="B14" s="20" t="s">
        <v>107</v>
      </c>
      <c r="C14" s="21" t="s">
        <v>39</v>
      </c>
      <c r="D14" s="20" t="s">
        <v>113</v>
      </c>
      <c r="E14" s="43">
        <v>70</v>
      </c>
      <c r="F14" s="43">
        <v>75</v>
      </c>
      <c r="G14" s="43">
        <v>82</v>
      </c>
      <c r="H14" s="43">
        <v>65</v>
      </c>
      <c r="I14" s="22">
        <v>1</v>
      </c>
    </row>
    <row r="15" spans="2:9" x14ac:dyDescent="0.3">
      <c r="B15" s="20" t="s">
        <v>110</v>
      </c>
      <c r="C15" s="21" t="s">
        <v>18</v>
      </c>
      <c r="D15" s="20" t="s">
        <v>77</v>
      </c>
      <c r="E15" s="43">
        <v>80</v>
      </c>
      <c r="F15" s="43">
        <v>86</v>
      </c>
      <c r="G15" s="43">
        <v>86</v>
      </c>
      <c r="H15" s="43">
        <v>100</v>
      </c>
      <c r="I15" s="22" t="s">
        <v>109</v>
      </c>
    </row>
    <row r="16" spans="2:9" x14ac:dyDescent="0.3">
      <c r="B16" s="20" t="s">
        <v>117</v>
      </c>
      <c r="C16" s="21" t="s">
        <v>119</v>
      </c>
      <c r="D16" s="20" t="s">
        <v>108</v>
      </c>
      <c r="E16" s="43">
        <v>84</v>
      </c>
      <c r="F16" s="43">
        <v>58</v>
      </c>
      <c r="G16" s="43">
        <v>89</v>
      </c>
      <c r="H16" s="43">
        <v>75</v>
      </c>
      <c r="I16" s="22">
        <v>3</v>
      </c>
    </row>
    <row r="17" spans="2:9" x14ac:dyDescent="0.3">
      <c r="B17" s="20" t="s">
        <v>117</v>
      </c>
      <c r="C17" s="21" t="s">
        <v>89</v>
      </c>
      <c r="D17" s="20" t="s">
        <v>87</v>
      </c>
      <c r="E17" s="43">
        <v>80</v>
      </c>
      <c r="F17" s="43">
        <v>86</v>
      </c>
      <c r="G17" s="43">
        <v>89</v>
      </c>
      <c r="H17" s="43">
        <v>67</v>
      </c>
      <c r="I17" s="22">
        <v>3</v>
      </c>
    </row>
    <row r="18" spans="2:9" x14ac:dyDescent="0.3">
      <c r="B18" s="20" t="s">
        <v>114</v>
      </c>
      <c r="C18" s="21" t="s">
        <v>91</v>
      </c>
      <c r="D18" s="20" t="s">
        <v>77</v>
      </c>
      <c r="E18" s="43">
        <v>91</v>
      </c>
      <c r="F18" s="43">
        <v>60</v>
      </c>
      <c r="G18" s="43">
        <v>90</v>
      </c>
      <c r="H18" s="43">
        <v>98</v>
      </c>
      <c r="I18" s="22">
        <v>1</v>
      </c>
    </row>
    <row r="19" spans="2:9" x14ac:dyDescent="0.3">
      <c r="B19" s="20" t="s">
        <v>114</v>
      </c>
      <c r="C19" s="21" t="s">
        <v>28</v>
      </c>
      <c r="D19" s="20" t="s">
        <v>113</v>
      </c>
      <c r="E19" s="43">
        <v>85</v>
      </c>
      <c r="F19" s="43">
        <v>85</v>
      </c>
      <c r="G19" s="43">
        <v>93</v>
      </c>
      <c r="H19" s="43">
        <v>77</v>
      </c>
      <c r="I19" s="22">
        <v>2</v>
      </c>
    </row>
    <row r="20" spans="2:9" x14ac:dyDescent="0.3">
      <c r="B20" s="20" t="s">
        <v>114</v>
      </c>
      <c r="C20" s="21" t="s">
        <v>41</v>
      </c>
      <c r="D20" s="20" t="s">
        <v>118</v>
      </c>
      <c r="E20" s="43">
        <v>86</v>
      </c>
      <c r="F20" s="43">
        <v>67</v>
      </c>
      <c r="G20" s="43">
        <v>94</v>
      </c>
      <c r="H20" s="43">
        <v>88</v>
      </c>
      <c r="I20" s="22">
        <v>1</v>
      </c>
    </row>
    <row r="21" spans="2:9" x14ac:dyDescent="0.3">
      <c r="B21" s="20" t="s">
        <v>107</v>
      </c>
      <c r="C21" s="21" t="s">
        <v>37</v>
      </c>
      <c r="D21" s="20" t="s">
        <v>118</v>
      </c>
      <c r="E21" s="43">
        <v>80</v>
      </c>
      <c r="F21" s="43">
        <v>55</v>
      </c>
      <c r="G21" s="43">
        <v>96</v>
      </c>
      <c r="H21" s="43">
        <v>90</v>
      </c>
      <c r="I21" s="22" t="s">
        <v>109</v>
      </c>
    </row>
    <row r="22" spans="2:9" x14ac:dyDescent="0.3">
      <c r="B22" s="20" t="s">
        <v>117</v>
      </c>
      <c r="C22" s="21" t="s">
        <v>93</v>
      </c>
      <c r="D22" s="20" t="s">
        <v>108</v>
      </c>
      <c r="E22" s="43">
        <v>83</v>
      </c>
      <c r="F22" s="43">
        <v>66</v>
      </c>
      <c r="G22" s="43">
        <v>96</v>
      </c>
      <c r="H22" s="43">
        <v>67</v>
      </c>
      <c r="I22" s="22">
        <v>3</v>
      </c>
    </row>
    <row r="23" spans="2:9" x14ac:dyDescent="0.3">
      <c r="B23" s="20" t="s">
        <v>110</v>
      </c>
      <c r="C23" s="21" t="s">
        <v>94</v>
      </c>
      <c r="D23" s="20" t="s">
        <v>108</v>
      </c>
      <c r="E23" s="43">
        <v>58</v>
      </c>
      <c r="F23" s="43">
        <v>88</v>
      </c>
      <c r="G23" s="43">
        <v>98</v>
      </c>
      <c r="H23" s="43">
        <v>98</v>
      </c>
      <c r="I23" s="22">
        <v>1</v>
      </c>
    </row>
    <row r="24" spans="2:9" x14ac:dyDescent="0.3">
      <c r="B24" s="20" t="s">
        <v>59</v>
      </c>
      <c r="C24" s="21" t="s">
        <v>95</v>
      </c>
      <c r="D24" s="20" t="s">
        <v>87</v>
      </c>
      <c r="E24" s="43">
        <v>47</v>
      </c>
      <c r="F24" s="43">
        <v>69</v>
      </c>
      <c r="G24" s="43">
        <v>90</v>
      </c>
      <c r="H24" s="43">
        <v>83</v>
      </c>
      <c r="I24" s="22" t="s">
        <v>109</v>
      </c>
    </row>
    <row r="25" spans="2:9" x14ac:dyDescent="0.3">
      <c r="B25" s="20" t="s">
        <v>110</v>
      </c>
      <c r="C25" s="21" t="s">
        <v>32</v>
      </c>
      <c r="D25" s="20" t="s">
        <v>118</v>
      </c>
      <c r="E25" s="43">
        <v>56</v>
      </c>
      <c r="F25" s="43">
        <v>92</v>
      </c>
      <c r="G25" s="43">
        <v>91</v>
      </c>
      <c r="H25" s="43">
        <v>97</v>
      </c>
      <c r="I25" s="22">
        <v>2</v>
      </c>
    </row>
    <row r="26" spans="2:9" x14ac:dyDescent="0.3">
      <c r="B26" s="20" t="s">
        <v>117</v>
      </c>
      <c r="C26" s="21" t="s">
        <v>96</v>
      </c>
      <c r="D26" s="20" t="s">
        <v>77</v>
      </c>
      <c r="E26" s="43">
        <v>87</v>
      </c>
      <c r="F26" s="43">
        <v>57</v>
      </c>
      <c r="G26" s="43">
        <v>91</v>
      </c>
      <c r="H26" s="43">
        <v>83</v>
      </c>
      <c r="I26" s="22">
        <v>2</v>
      </c>
    </row>
    <row r="27" spans="2:9" x14ac:dyDescent="0.3">
      <c r="B27" s="20" t="s">
        <v>117</v>
      </c>
      <c r="C27" s="21" t="s">
        <v>11</v>
      </c>
      <c r="D27" s="20" t="s">
        <v>108</v>
      </c>
      <c r="E27" s="43">
        <v>84</v>
      </c>
      <c r="F27" s="43">
        <v>74</v>
      </c>
      <c r="G27" s="43">
        <v>92</v>
      </c>
      <c r="H27" s="43">
        <v>98</v>
      </c>
      <c r="I27" s="22">
        <v>2</v>
      </c>
    </row>
    <row r="28" spans="2:9" x14ac:dyDescent="0.3">
      <c r="B28" s="20" t="s">
        <v>114</v>
      </c>
      <c r="C28" s="21" t="s">
        <v>97</v>
      </c>
      <c r="D28" s="20" t="s">
        <v>77</v>
      </c>
      <c r="E28" s="43">
        <v>94</v>
      </c>
      <c r="F28" s="43">
        <v>57</v>
      </c>
      <c r="G28" s="43">
        <v>94</v>
      </c>
      <c r="H28" s="43">
        <v>100</v>
      </c>
      <c r="I28" s="22">
        <v>1</v>
      </c>
    </row>
    <row r="29" spans="2:9" x14ac:dyDescent="0.3">
      <c r="B29" s="20" t="s">
        <v>55</v>
      </c>
      <c r="C29" s="21" t="s">
        <v>98</v>
      </c>
      <c r="D29" s="20" t="s">
        <v>51</v>
      </c>
      <c r="E29" s="43">
        <v>81</v>
      </c>
      <c r="F29" s="43">
        <v>75</v>
      </c>
      <c r="G29" s="43">
        <v>96</v>
      </c>
      <c r="H29" s="43">
        <v>87</v>
      </c>
      <c r="I29" s="22" t="s">
        <v>109</v>
      </c>
    </row>
    <row r="30" spans="2:9" x14ac:dyDescent="0.3">
      <c r="B30" s="23" t="s">
        <v>110</v>
      </c>
      <c r="C30" s="24" t="s">
        <v>30</v>
      </c>
      <c r="D30" s="23" t="s">
        <v>108</v>
      </c>
      <c r="E30" s="44">
        <v>80</v>
      </c>
      <c r="F30" s="44">
        <v>57</v>
      </c>
      <c r="G30" s="44">
        <v>97</v>
      </c>
      <c r="H30" s="44">
        <v>75</v>
      </c>
      <c r="I30" s="25">
        <v>2</v>
      </c>
    </row>
  </sheetData>
  <phoneticPr fontId="1" type="noConversion"/>
  <pageMargins left="0.7" right="0.7" top="0.75" bottom="0.75" header="0.3" footer="0.3"/>
  <pageSetup paperSize="9" scale="9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단추1_Click">
                <anchor moveWithCells="1">
                  <from>
                    <xdr:col>4</xdr:col>
                    <xdr:colOff>657225</xdr:colOff>
                    <xdr:row>1</xdr:row>
                    <xdr:rowOff>66675</xdr:rowOff>
                  </from>
                  <to>
                    <xdr:col>6</xdr:col>
                    <xdr:colOff>28575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C8"/>
  <sheetViews>
    <sheetView workbookViewId="0">
      <selection activeCell="H7" sqref="H7"/>
    </sheetView>
  </sheetViews>
  <sheetFormatPr defaultRowHeight="16.5" x14ac:dyDescent="0.3"/>
  <cols>
    <col min="1" max="1" width="9.875" customWidth="1"/>
    <col min="2" max="3" width="10.375" customWidth="1"/>
  </cols>
  <sheetData>
    <row r="1" spans="1:3" x14ac:dyDescent="0.3">
      <c r="A1" s="27"/>
      <c r="B1" s="27"/>
      <c r="C1" s="27"/>
    </row>
    <row r="2" spans="1:3" x14ac:dyDescent="0.3">
      <c r="A2" s="28" t="s">
        <v>124</v>
      </c>
      <c r="B2" s="28" t="s">
        <v>125</v>
      </c>
      <c r="C2" s="28" t="s">
        <v>126</v>
      </c>
    </row>
    <row r="3" spans="1:3" x14ac:dyDescent="0.3">
      <c r="A3" s="29" t="s">
        <v>127</v>
      </c>
      <c r="B3" s="29" t="s">
        <v>128</v>
      </c>
      <c r="C3" s="30">
        <v>80</v>
      </c>
    </row>
    <row r="4" spans="1:3" x14ac:dyDescent="0.3">
      <c r="A4" s="29" t="s">
        <v>15</v>
      </c>
      <c r="B4" s="29" t="s">
        <v>129</v>
      </c>
      <c r="C4" s="30">
        <v>95</v>
      </c>
    </row>
    <row r="5" spans="1:3" x14ac:dyDescent="0.3">
      <c r="A5" s="29" t="s">
        <v>130</v>
      </c>
      <c r="B5" s="29" t="s">
        <v>131</v>
      </c>
      <c r="C5" s="30">
        <v>85</v>
      </c>
    </row>
    <row r="6" spans="1:3" x14ac:dyDescent="0.3">
      <c r="A6" s="29" t="s">
        <v>132</v>
      </c>
      <c r="B6" s="29" t="s">
        <v>133</v>
      </c>
      <c r="C6" s="30">
        <v>75</v>
      </c>
    </row>
    <row r="7" spans="1:3" x14ac:dyDescent="0.3">
      <c r="A7" s="29" t="s">
        <v>37</v>
      </c>
      <c r="B7" s="29" t="s">
        <v>36</v>
      </c>
      <c r="C7" s="30">
        <v>60</v>
      </c>
    </row>
    <row r="8" spans="1:3" x14ac:dyDescent="0.3">
      <c r="A8" s="29" t="s">
        <v>134</v>
      </c>
      <c r="B8" s="29" t="s">
        <v>135</v>
      </c>
      <c r="C8" s="30">
        <v>65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점수조회">
          <controlPr defaultSize="0" autoLine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638175</xdr:colOff>
                <xdr:row>3</xdr:row>
                <xdr:rowOff>9525</xdr:rowOff>
              </to>
            </anchor>
          </controlPr>
        </control>
      </mc:Choice>
      <mc:Fallback>
        <control shapeId="7169" r:id="rId3" name="점수조회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'기타작업-2'!Print_Area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김지원</cp:lastModifiedBy>
  <dcterms:created xsi:type="dcterms:W3CDTF">2020-04-07T06:00:22Z</dcterms:created>
  <dcterms:modified xsi:type="dcterms:W3CDTF">2021-02-19T04:22:40Z</dcterms:modified>
</cp:coreProperties>
</file>