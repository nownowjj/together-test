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2021컴활1급\스프레드시트\모의고사\"/>
    </mc:Choice>
  </mc:AlternateContent>
  <xr:revisionPtr revIDLastSave="0" documentId="13_ncr:1_{476A8EEF-CAFC-475C-ACE5-4040D70F1711}" xr6:coauthVersionLast="46" xr6:coauthVersionMax="46" xr10:uidLastSave="{00000000-0000-0000-0000-000000000000}"/>
  <bookViews>
    <workbookView xWindow="30" yWindow="0" windowWidth="21585" windowHeight="15240" firstSheet="3" activeTab="7" xr2:uid="{00000000-000D-0000-FFFF-FFFF00000000}"/>
  </bookViews>
  <sheets>
    <sheet name="기본작업-1" sheetId="2" r:id="rId1"/>
    <sheet name="기본작업-2" sheetId="8" r:id="rId2"/>
    <sheet name="계산작업" sheetId="3" r:id="rId3"/>
    <sheet name="분석작업-1" sheetId="11" r:id="rId4"/>
    <sheet name="분석작업-2" sheetId="9" r:id="rId5"/>
    <sheet name="차트작업" sheetId="6" r:id="rId6"/>
    <sheet name="Chart1" sheetId="12" r:id="rId7"/>
    <sheet name="매크로" sheetId="10" r:id="rId8"/>
    <sheet name="렌탈입력" sheetId="7" r:id="rId9"/>
  </sheets>
  <functionGroups builtInGroupCount="19"/>
  <definedNames>
    <definedName name="_xlnm._FilterDatabase" localSheetId="0" hidden="1">'기본작업-1'!$B$2:$I$36</definedName>
    <definedName name="_xlnm.Criteria" localSheetId="0">'기본작업-1'!$B$38:$B$39</definedName>
    <definedName name="_xlnm.Extract" localSheetId="0">'기본작업-1'!$B$43:$I$43</definedName>
    <definedName name="MS_Access_Database_Query_1" localSheetId="0">'기본작업-1'!$B$2:$I$36</definedName>
    <definedName name="MS_Access_Database_Query_1" localSheetId="1">'기본작업-2'!$B$2:$I$36</definedName>
    <definedName name="MS_Access_Database_Query_1" localSheetId="7">매크로!$B$3:$G$16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9" i="2" l="1"/>
  <c r="J5" i="3" l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" i="3"/>
  <c r="F16" i="10"/>
  <c r="G16" i="10" s="1"/>
  <c r="F15" i="10"/>
  <c r="G15" i="10" s="1"/>
  <c r="F14" i="10"/>
  <c r="G14" i="10" s="1"/>
  <c r="F13" i="10"/>
  <c r="G13" i="10" s="1"/>
  <c r="F12" i="10"/>
  <c r="G12" i="10" s="1"/>
  <c r="F11" i="10"/>
  <c r="G11" i="10" s="1"/>
  <c r="F10" i="10"/>
  <c r="G10" i="10" s="1"/>
  <c r="F9" i="10"/>
  <c r="G9" i="10" s="1"/>
  <c r="F8" i="10"/>
  <c r="G8" i="10" s="1"/>
  <c r="F7" i="10"/>
  <c r="G7" i="10" s="1"/>
  <c r="F6" i="10"/>
  <c r="G6" i="10" s="1"/>
  <c r="F5" i="10"/>
  <c r="G5" i="10" s="1"/>
  <c r="G4" i="10"/>
  <c r="F4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연결" type="1" refreshedVersion="0" savePassword="1" deleted="1" background="1" saveData="1">
    <dbPr connection="" command=""/>
  </connection>
  <connection id="2" xr16:uid="{00000000-0015-0000-FFFF-FFFF01000000}" name="연결1" type="1" refreshedVersion="0" savePassword="1" deleted="1" background="1" saveData="1">
    <dbPr connection="" command=""/>
  </connection>
</connections>
</file>

<file path=xl/sharedStrings.xml><?xml version="1.0" encoding="utf-8"?>
<sst xmlns="http://schemas.openxmlformats.org/spreadsheetml/2006/main" count="656" uniqueCount="187">
  <si>
    <t>주문번호</t>
    <phoneticPr fontId="4" type="noConversion"/>
  </si>
  <si>
    <t>구분</t>
    <phoneticPr fontId="4" type="noConversion"/>
  </si>
  <si>
    <t>상품명</t>
    <phoneticPr fontId="4" type="noConversion"/>
  </si>
  <si>
    <t>판매가격</t>
    <phoneticPr fontId="4" type="noConversion"/>
  </si>
  <si>
    <t>주문수량</t>
    <phoneticPr fontId="4" type="noConversion"/>
  </si>
  <si>
    <t>주문지역</t>
    <phoneticPr fontId="4" type="noConversion"/>
  </si>
  <si>
    <t>업체</t>
  </si>
  <si>
    <t>주문일자</t>
    <phoneticPr fontId="4" type="noConversion"/>
  </si>
  <si>
    <t>남성용</t>
    <phoneticPr fontId="4" type="noConversion"/>
  </si>
  <si>
    <t>로션</t>
  </si>
  <si>
    <t>충북</t>
  </si>
  <si>
    <t>HOMME</t>
    <phoneticPr fontId="4" type="noConversion"/>
  </si>
  <si>
    <t>남성용</t>
    <phoneticPr fontId="4" type="noConversion"/>
  </si>
  <si>
    <t>향수</t>
  </si>
  <si>
    <t>서울</t>
  </si>
  <si>
    <t>인천</t>
  </si>
  <si>
    <t>경기</t>
  </si>
  <si>
    <t>HOMME</t>
    <phoneticPr fontId="4" type="noConversion"/>
  </si>
  <si>
    <t>대구</t>
  </si>
  <si>
    <t>남성용</t>
    <phoneticPr fontId="4" type="noConversion"/>
  </si>
  <si>
    <t>HOMME</t>
    <phoneticPr fontId="4" type="noConversion"/>
  </si>
  <si>
    <t>대전</t>
  </si>
  <si>
    <t>여성용</t>
    <phoneticPr fontId="4" type="noConversion"/>
  </si>
  <si>
    <t>충남</t>
  </si>
  <si>
    <t>여성용</t>
    <phoneticPr fontId="4" type="noConversion"/>
  </si>
  <si>
    <t>[표1]</t>
    <phoneticPr fontId="4" type="noConversion"/>
  </si>
  <si>
    <t>주문코드</t>
    <phoneticPr fontId="4" type="noConversion"/>
  </si>
  <si>
    <t>지점</t>
    <phoneticPr fontId="4" type="noConversion"/>
  </si>
  <si>
    <t>분류</t>
    <phoneticPr fontId="4" type="noConversion"/>
  </si>
  <si>
    <t>일사분기</t>
    <phoneticPr fontId="4" type="noConversion"/>
  </si>
  <si>
    <t>이사분기</t>
    <phoneticPr fontId="4" type="noConversion"/>
  </si>
  <si>
    <t>삼사분기</t>
    <phoneticPr fontId="4" type="noConversion"/>
  </si>
  <si>
    <t>사사분기</t>
    <phoneticPr fontId="4" type="noConversion"/>
  </si>
  <si>
    <t>비고</t>
    <phoneticPr fontId="4" type="noConversion"/>
  </si>
  <si>
    <t>[표2]</t>
    <phoneticPr fontId="4" type="noConversion"/>
  </si>
  <si>
    <t>A001</t>
    <phoneticPr fontId="4" type="noConversion"/>
  </si>
  <si>
    <t>서울</t>
    <phoneticPr fontId="4" type="noConversion"/>
  </si>
  <si>
    <t>기능성</t>
  </si>
  <si>
    <t>분류</t>
    <phoneticPr fontId="4" type="noConversion"/>
  </si>
  <si>
    <t>사사분기</t>
    <phoneticPr fontId="4" type="noConversion"/>
  </si>
  <si>
    <t>A002</t>
  </si>
  <si>
    <t>인천</t>
    <phoneticPr fontId="4" type="noConversion"/>
  </si>
  <si>
    <t>베이스메이크업</t>
  </si>
  <si>
    <t>기능성</t>
    <phoneticPr fontId="4" type="noConversion"/>
  </si>
  <si>
    <t>A003</t>
  </si>
  <si>
    <t>색조</t>
  </si>
  <si>
    <t>색조</t>
    <phoneticPr fontId="4" type="noConversion"/>
  </si>
  <si>
    <t>A004</t>
  </si>
  <si>
    <t>서울</t>
    <phoneticPr fontId="4" type="noConversion"/>
  </si>
  <si>
    <t>베이스메이크업</t>
    <phoneticPr fontId="4" type="noConversion"/>
  </si>
  <si>
    <t>A005</t>
  </si>
  <si>
    <t>대전</t>
    <phoneticPr fontId="4" type="noConversion"/>
  </si>
  <si>
    <t>A006</t>
  </si>
  <si>
    <t>인천</t>
    <phoneticPr fontId="4" type="noConversion"/>
  </si>
  <si>
    <t>[표3]</t>
    <phoneticPr fontId="4" type="noConversion"/>
  </si>
  <si>
    <t>A007</t>
  </si>
  <si>
    <t>부산</t>
    <phoneticPr fontId="4" type="noConversion"/>
  </si>
  <si>
    <t>일사분기주문량</t>
    <phoneticPr fontId="4" type="noConversion"/>
  </si>
  <si>
    <t>판매업체수</t>
    <phoneticPr fontId="4" type="noConversion"/>
  </si>
  <si>
    <t>A008</t>
  </si>
  <si>
    <t>경기</t>
    <phoneticPr fontId="4" type="noConversion"/>
  </si>
  <si>
    <t>A009</t>
  </si>
  <si>
    <t>A010</t>
  </si>
  <si>
    <t>A011</t>
  </si>
  <si>
    <t>A012</t>
  </si>
  <si>
    <t>A013</t>
  </si>
  <si>
    <t>경기</t>
    <phoneticPr fontId="4" type="noConversion"/>
  </si>
  <si>
    <t>A014</t>
  </si>
  <si>
    <t>대구</t>
    <phoneticPr fontId="4" type="noConversion"/>
  </si>
  <si>
    <t>A015</t>
  </si>
  <si>
    <t>[표4]</t>
    <phoneticPr fontId="4" type="noConversion"/>
  </si>
  <si>
    <t>A016</t>
  </si>
  <si>
    <t>A017</t>
  </si>
  <si>
    <t>대전</t>
    <phoneticPr fontId="4" type="noConversion"/>
  </si>
  <si>
    <t>색조</t>
    <phoneticPr fontId="4" type="noConversion"/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</si>
  <si>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</si>
  <si>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</si>
  <si>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</si>
  <si>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</si>
  <si>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</si>
  <si>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</si>
  <si>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</si>
  <si>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</si>
  <si>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</si>
  <si>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</si>
  <si>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</si>
  <si>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</si>
  <si>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</si>
  <si>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</si>
  <si>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</si>
  <si>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</si>
  <si>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</si>
  <si>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</si>
  <si>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</si>
  <si>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</si>
  <si>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</si>
  <si>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</si>
  <si>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</si>
  <si>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[표5]</t>
    <phoneticPr fontId="4" type="noConversion"/>
  </si>
  <si>
    <t>[표6]</t>
    <phoneticPr fontId="4" type="noConversion"/>
  </si>
  <si>
    <t>등급점수</t>
    <phoneticPr fontId="4" type="noConversion"/>
  </si>
  <si>
    <t>주문등급</t>
    <phoneticPr fontId="4" type="noConversion"/>
  </si>
  <si>
    <t>주문량 총점수</t>
    <phoneticPr fontId="4" type="noConversion"/>
  </si>
  <si>
    <t>주문등급</t>
    <phoneticPr fontId="4" type="noConversion"/>
  </si>
  <si>
    <t>F</t>
    <phoneticPr fontId="4" type="noConversion"/>
  </si>
  <si>
    <t>D</t>
    <phoneticPr fontId="4" type="noConversion"/>
  </si>
  <si>
    <t>C</t>
    <phoneticPr fontId="4" type="noConversion"/>
  </si>
  <si>
    <t>대전</t>
    <phoneticPr fontId="4" type="noConversion"/>
  </si>
  <si>
    <t>B</t>
    <phoneticPr fontId="4" type="noConversion"/>
  </si>
  <si>
    <t>대구</t>
    <phoneticPr fontId="4" type="noConversion"/>
  </si>
  <si>
    <t>A</t>
    <phoneticPr fontId="4" type="noConversion"/>
  </si>
  <si>
    <t>부산</t>
    <phoneticPr fontId="4" type="noConversion"/>
  </si>
  <si>
    <t>거래구분</t>
  </si>
  <si>
    <t>물품명</t>
  </si>
  <si>
    <t>주문수량</t>
  </si>
  <si>
    <t>판매수량</t>
  </si>
  <si>
    <t>금액</t>
  </si>
  <si>
    <t>포인트</t>
  </si>
  <si>
    <t>카드</t>
  </si>
  <si>
    <t>현금</t>
  </si>
  <si>
    <t>쿠폰</t>
  </si>
  <si>
    <t>1월 적립금 분석표</t>
    <phoneticPr fontId="4" type="noConversion"/>
  </si>
  <si>
    <t>판매일자</t>
    <phoneticPr fontId="4" type="noConversion"/>
  </si>
  <si>
    <t>물품영</t>
    <phoneticPr fontId="4" type="noConversion"/>
  </si>
  <si>
    <t>판매단가</t>
    <phoneticPr fontId="4" type="noConversion"/>
  </si>
  <si>
    <t>판매금액</t>
    <phoneticPr fontId="4" type="noConversion"/>
  </si>
  <si>
    <t>적립금</t>
    <phoneticPr fontId="4" type="noConversion"/>
  </si>
  <si>
    <t>로션</t>
    <phoneticPr fontId="4" type="noConversion"/>
  </si>
  <si>
    <t>샴푸</t>
    <phoneticPr fontId="4" type="noConversion"/>
  </si>
  <si>
    <t>향수</t>
    <phoneticPr fontId="4" type="noConversion"/>
  </si>
  <si>
    <t>평 균 기 온  평 년 차</t>
    <phoneticPr fontId="4" type="noConversion"/>
  </si>
  <si>
    <t>지점</t>
  </si>
  <si>
    <t>1월</t>
    <phoneticPr fontId="4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</si>
  <si>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</si>
  <si>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</si>
  <si>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</si>
  <si>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</si>
  <si>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</si>
  <si>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</si>
  <si>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</si>
  <si>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</si>
  <si>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</si>
  <si>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</si>
  <si>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</si>
  <si>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속초</t>
    <phoneticPr fontId="4" type="noConversion"/>
  </si>
  <si>
    <t>철  원</t>
  </si>
  <si>
    <t>대관령</t>
  </si>
  <si>
    <t>춘  천</t>
  </si>
  <si>
    <t>강  릉</t>
  </si>
  <si>
    <t>[표1]</t>
    <phoneticPr fontId="4" type="noConversion"/>
  </si>
  <si>
    <t>제품명</t>
    <phoneticPr fontId="4" type="noConversion"/>
  </si>
  <si>
    <t>대여일수</t>
    <phoneticPr fontId="4" type="noConversion"/>
  </si>
  <si>
    <t>제품가격</t>
    <phoneticPr fontId="4" type="noConversion"/>
  </si>
  <si>
    <t>대여금액</t>
    <phoneticPr fontId="4" type="noConversion"/>
  </si>
  <si>
    <t>대여자</t>
    <phoneticPr fontId="4" type="noConversion"/>
  </si>
  <si>
    <t>제품명</t>
    <phoneticPr fontId="4" type="noConversion"/>
  </si>
  <si>
    <t>제품가격</t>
    <phoneticPr fontId="4" type="noConversion"/>
  </si>
  <si>
    <t>노트북</t>
    <phoneticPr fontId="4" type="noConversion"/>
  </si>
  <si>
    <t>데스크톱</t>
    <phoneticPr fontId="4" type="noConversion"/>
  </si>
  <si>
    <t>캠코더</t>
    <phoneticPr fontId="4" type="noConversion"/>
  </si>
  <si>
    <t>DVD재생기</t>
    <phoneticPr fontId="4" type="noConversion"/>
  </si>
  <si>
    <t>서버</t>
    <phoneticPr fontId="4" type="noConversion"/>
  </si>
  <si>
    <t>1.1 고급필터</t>
    <phoneticPr fontId="1" type="noConversion"/>
  </si>
  <si>
    <t xml:space="preserve"> 조건 : B38:B39 / 결과 : B43</t>
    <phoneticPr fontId="1" type="noConversion"/>
  </si>
  <si>
    <t xml:space="preserve"> [OR, AND]</t>
    <phoneticPr fontId="1" type="noConversion"/>
  </si>
  <si>
    <t>1.2 조건부서식</t>
    <phoneticPr fontId="1" type="noConversion"/>
  </si>
  <si>
    <t>주문지역이 서울이면서 주문일자가 1월</t>
    <phoneticPr fontId="1" type="noConversion"/>
  </si>
  <si>
    <t xml:space="preserve"> 글꼴 스타일 '굵게', 글꼴 색은 '표준 색 - 파랑'</t>
    <phoneticPr fontId="1" type="noConversion"/>
  </si>
  <si>
    <t xml:space="preserve"> [AND, MONTH]</t>
    <phoneticPr fontId="1" type="noConversion"/>
  </si>
  <si>
    <t>상품명이 향수이고 판매가격이 50000 이하이고 주문수량이 800이상 1000이하인 행이나 주문지역 서울</t>
    <phoneticPr fontId="1" type="noConversion"/>
  </si>
  <si>
    <t>④ 일사분기+이사분기+삼사분기+사사분기의 합이 200 이상이면</t>
    <phoneticPr fontId="1" type="noConversion"/>
  </si>
  <si>
    <t xml:space="preserve">    우수업체 아니면 공백</t>
    <phoneticPr fontId="1" type="noConversion"/>
  </si>
  <si>
    <t>End Function</t>
    <phoneticPr fontId="1" type="noConversion"/>
  </si>
  <si>
    <t>IF</t>
    <phoneticPr fontId="1" type="noConversion"/>
  </si>
  <si>
    <t>Public Function fn비고(일사분기, 이사분기, 삼사분기, 사사분기)</t>
    <phoneticPr fontId="1" type="noConversion"/>
  </si>
  <si>
    <t xml:space="preserve"> [VLOOKUP, SUMPRODUCT]</t>
    <phoneticPr fontId="1" type="noConversion"/>
  </si>
  <si>
    <t>⑤ 주문량 총점수에 따른 등급을 표6에서 찾아 표시. 주문등급은 [표5]의 등급점수와 각 지점별 점수를 곱한 값의 합</t>
    <phoneticPr fontId="1" type="noConversion"/>
  </si>
  <si>
    <t>&lt;화장품.accdb&gt;의 &lt;판매내역&gt; 테이블</t>
    <phoneticPr fontId="1" type="noConversion"/>
  </si>
  <si>
    <t>물품명, 거래구분, 금액, 포인트, B3</t>
    <phoneticPr fontId="1" type="noConversion"/>
  </si>
  <si>
    <t>② 강릉 데이터 계열의 데이터 레이블을 값이 표시되도록 설정하시오.</t>
    <phoneticPr fontId="1" type="noConversion"/>
  </si>
  <si>
    <t>③ 속초 데이터 계열의 서식에서 옵션의 겹치기를 50으로 설정하시오.</t>
    <phoneticPr fontId="1" type="noConversion"/>
  </si>
  <si>
    <t>④ 세로(값) 축의 최대값을 45, 최소값을 -10, 주 단위를 5로 설정하시오.</t>
    <phoneticPr fontId="1" type="noConversion"/>
  </si>
  <si>
    <t>⑤ 차트 영역 서식에서 테두리는 모서리에 그림자(오프셋 대각선 오른쪽 아래)가 있으며 둥글게 표시되도록 설정하시오.</t>
    <phoneticPr fontId="1" type="noConversion"/>
  </si>
  <si>
    <t>① 강릉 데이터 계열만 차트 종류를 '표식이 있는 꺾은선형'으로 설정하시오.</t>
    <phoneticPr fontId="1" type="noConversion"/>
  </si>
  <si>
    <t xml:space="preserve">    AVERAGEIF, ROUNDUP</t>
    <phoneticPr fontId="1" type="noConversion"/>
  </si>
  <si>
    <t>① 분류별 삼사분기, 사사분기의 평균 계산, 소수 첫째자리까지 표시</t>
    <phoneticPr fontId="1" type="noConversion"/>
  </si>
  <si>
    <t>조건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</si>
</sst>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yyyy/mm/dd\ "/>
    <numFmt numFmtId="177" formatCode="#\ &quot;이하&quot;"/>
    <numFmt numFmtId="178" formatCode="mm&quot;월&quot;\ dd&quot;일&quot;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2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indexed="9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1"/>
      <color indexed="9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rgb="FF7030A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/>
  </cellStyleXfs>
  <cellXfs count="47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49" fontId="5" fillId="0" borderId="1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6" fillId="0" borderId="1" xfId="1" applyNumberFormat="1" applyFont="1" applyBorder="1" applyAlignment="1">
      <alignment vertical="center"/>
    </xf>
    <xf numFmtId="41" fontId="6" fillId="0" borderId="0" xfId="1" applyFont="1" applyBorder="1" applyAlignment="1">
      <alignment vertical="center"/>
    </xf>
    <xf numFmtId="177" fontId="5" fillId="0" borderId="1" xfId="0" applyNumberFormat="1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14" fontId="5" fillId="0" borderId="1" xfId="0" applyNumberFormat="1" applyFont="1" applyBorder="1" applyAlignment="1">
      <alignment vertical="center"/>
    </xf>
    <xf numFmtId="41" fontId="5" fillId="0" borderId="1" xfId="1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6" fillId="0" borderId="1" xfId="2" applyFont="1" applyBorder="1" applyAlignment="1">
      <alignment horizontal="left" vertical="center"/>
    </xf>
    <xf numFmtId="0" fontId="6" fillId="0" borderId="1" xfId="2" applyFont="1" applyBorder="1" applyAlignment="1">
      <alignment vertical="center"/>
    </xf>
    <xf numFmtId="41" fontId="5" fillId="0" borderId="0" xfId="1" applyFont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41" fontId="11" fillId="4" borderId="1" xfId="1" applyFont="1" applyFill="1" applyBorder="1" applyAlignment="1">
      <alignment horizontal="center" vertical="center"/>
    </xf>
    <xf numFmtId="0" fontId="11" fillId="4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0" fontId="5" fillId="0" borderId="1" xfId="0" applyNumberFormat="1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0" xfId="0" applyFont="1" applyFill="1" applyBorder="1" applyAlignment="1">
      <alignment horizontal="left" vertical="center"/>
    </xf>
    <xf numFmtId="0" fontId="13" fillId="0" borderId="0" xfId="3" applyFont="1"/>
    <xf numFmtId="0" fontId="14" fillId="0" borderId="0" xfId="3" applyFont="1" applyAlignment="1">
      <alignment horizontal="center"/>
    </xf>
    <xf numFmtId="0" fontId="12" fillId="0" borderId="0" xfId="0" applyFont="1" applyAlignment="1">
      <alignment vertical="center"/>
    </xf>
    <xf numFmtId="0" fontId="15" fillId="0" borderId="0" xfId="0" applyFont="1">
      <alignment vertical="center"/>
    </xf>
    <xf numFmtId="178" fontId="5" fillId="0" borderId="1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8" fillId="5" borderId="0" xfId="0" applyFont="1" applyFill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00000000-0005-0000-0000-000002000000}"/>
    <cellStyle name="표준_차트작업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차트작업!$B$5</c:f>
              <c:strCache>
                <c:ptCount val="1"/>
                <c:pt idx="0">
                  <c:v>속초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차트작업!$C$5:$H$5</c:f>
              <c:numCache>
                <c:formatCode>General</c:formatCode>
                <c:ptCount val="6"/>
                <c:pt idx="0">
                  <c:v>9</c:v>
                </c:pt>
                <c:pt idx="1">
                  <c:v>32</c:v>
                </c:pt>
                <c:pt idx="2">
                  <c:v>14</c:v>
                </c:pt>
                <c:pt idx="3">
                  <c:v>4</c:v>
                </c:pt>
                <c:pt idx="4">
                  <c:v>12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4B-4820-A0ED-9683732023FE}"/>
            </c:ext>
          </c:extLst>
        </c:ser>
        <c:ser>
          <c:idx val="1"/>
          <c:order val="1"/>
          <c:tx>
            <c:strRef>
              <c:f>차트작업!$B$6</c:f>
              <c:strCache>
                <c:ptCount val="1"/>
                <c:pt idx="0">
                  <c:v>철  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차트작업!$C$6:$H$6</c:f>
              <c:numCache>
                <c:formatCode>General</c:formatCode>
                <c:ptCount val="6"/>
                <c:pt idx="0">
                  <c:v>17</c:v>
                </c:pt>
                <c:pt idx="1">
                  <c:v>31</c:v>
                </c:pt>
                <c:pt idx="2">
                  <c:v>5</c:v>
                </c:pt>
                <c:pt idx="3">
                  <c:v>-8</c:v>
                </c:pt>
                <c:pt idx="4">
                  <c:v>6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4B-4820-A0ED-9683732023FE}"/>
            </c:ext>
          </c:extLst>
        </c:ser>
        <c:ser>
          <c:idx val="2"/>
          <c:order val="2"/>
          <c:tx>
            <c:strRef>
              <c:f>차트작업!$B$7</c:f>
              <c:strCache>
                <c:ptCount val="1"/>
                <c:pt idx="0">
                  <c:v>대관령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차트작업!$C$7:$H$7</c:f>
              <c:numCache>
                <c:formatCode>General</c:formatCode>
                <c:ptCount val="6"/>
                <c:pt idx="0">
                  <c:v>24</c:v>
                </c:pt>
                <c:pt idx="1">
                  <c:v>40</c:v>
                </c:pt>
                <c:pt idx="2">
                  <c:v>16</c:v>
                </c:pt>
                <c:pt idx="3">
                  <c:v>-1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4B-4820-A0ED-9683732023FE}"/>
            </c:ext>
          </c:extLst>
        </c:ser>
        <c:ser>
          <c:idx val="3"/>
          <c:order val="3"/>
          <c:tx>
            <c:strRef>
              <c:f>차트작업!$B$8</c:f>
              <c:strCache>
                <c:ptCount val="1"/>
                <c:pt idx="0">
                  <c:v>춘  천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차트작업!$C$8:$H$8</c:f>
              <c:numCache>
                <c:formatCode>General</c:formatCode>
                <c:ptCount val="6"/>
                <c:pt idx="0">
                  <c:v>21</c:v>
                </c:pt>
                <c:pt idx="1">
                  <c:v>33</c:v>
                </c:pt>
                <c:pt idx="2">
                  <c:v>7</c:v>
                </c:pt>
                <c:pt idx="3">
                  <c:v>-7</c:v>
                </c:pt>
                <c:pt idx="4">
                  <c:v>8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4B-4820-A0ED-9683732023FE}"/>
            </c:ext>
          </c:extLst>
        </c:ser>
        <c:ser>
          <c:idx val="4"/>
          <c:order val="4"/>
          <c:tx>
            <c:strRef>
              <c:f>차트작업!$B$9</c:f>
              <c:strCache>
                <c:ptCount val="1"/>
                <c:pt idx="0">
                  <c:v>강  릉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차트작업!$C$9:$H$9</c:f>
              <c:numCache>
                <c:formatCode>General</c:formatCode>
                <c:ptCount val="6"/>
                <c:pt idx="0">
                  <c:v>25</c:v>
                </c:pt>
                <c:pt idx="1">
                  <c:v>41</c:v>
                </c:pt>
                <c:pt idx="2">
                  <c:v>11</c:v>
                </c:pt>
                <c:pt idx="3">
                  <c:v>-4</c:v>
                </c:pt>
                <c:pt idx="4">
                  <c:v>7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4B-4820-A0ED-968373202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91842272"/>
        <c:axId val="1991828544"/>
      </c:barChart>
      <c:catAx>
        <c:axId val="199184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91828544"/>
        <c:crosses val="autoZero"/>
        <c:auto val="1"/>
        <c:lblAlgn val="ctr"/>
        <c:lblOffset val="100"/>
        <c:noMultiLvlLbl val="0"/>
      </c:catAx>
      <c:valAx>
        <c:axId val="199182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9184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8388088"/>
        <c:axId val="638393336"/>
      </c:barChart>
      <c:catAx>
        <c:axId val="6383880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8393336"/>
        <c:crosses val="autoZero"/>
        <c:auto val="1"/>
        <c:lblAlgn val="ctr"/>
        <c:lblOffset val="100"/>
        <c:noMultiLvlLbl val="0"/>
      </c:catAx>
      <c:valAx>
        <c:axId val="638393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838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64DA1F7-83B6-4250-802B-1BCE71ABBCCF}">
  <sheetPr codeName="차트1"/>
  <sheetViews>
    <sheetView zoomScale="9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14</xdr:col>
      <xdr:colOff>0</xdr:colOff>
      <xdr:row>36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</xdr:row>
      <xdr:rowOff>0</xdr:rowOff>
    </xdr:from>
    <xdr:to>
      <xdr:col>22</xdr:col>
      <xdr:colOff>600075</xdr:colOff>
      <xdr:row>16</xdr:row>
      <xdr:rowOff>85725</xdr:rowOff>
    </xdr:to>
    <xdr:pic>
      <xdr:nvPicPr>
        <xdr:cNvPr id="3" name="_x180178440" descr="EMB000023dc4dc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0" y="209550"/>
          <a:ext cx="5400675" cy="3324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643F248-0E57-4252-9493-93A62F1ACD2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9525</xdr:colOff>
          <xdr:row>4</xdr:row>
          <xdr:rowOff>85725</xdr:rowOff>
        </xdr:to>
        <xdr:sp macro="" textlink="">
          <xdr:nvSpPr>
            <xdr:cNvPr id="7169" name="Cmd렌탈입력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1" connectionId="1" xr16:uid="{00000000-0016-0000-0000-000000000000}" autoFormatId="16" applyNumberFormats="0" applyBorderFormats="0" applyFontFormats="1" applyPatternFormats="1" applyAlignmentFormats="0" applyWidthHeightFormats="0">
  <queryTableRefresh nextId="11">
    <queryTableFields count="8">
      <queryTableField id="1" name="등록번호"/>
      <queryTableField id="2" name="모델"/>
      <queryTableField id="4" name="기어"/>
      <queryTableField id="5" name="주행거리"/>
      <queryTableField id="6" name="가격"/>
      <queryTableField id="7" name="지역"/>
      <queryTableField id="9" name="업체"/>
      <queryTableField id="10" name="등록일"/>
    </queryTableFields>
    <queryTableDeletedFields count="2">
      <deletedField name="연식"/>
      <deletedField name="상태"/>
    </queryTableDeletedFields>
    <sortState xmlns:xlrd2="http://schemas.microsoft.com/office/spreadsheetml/2017/richdata2" ref="B4:I36">
      <sortCondition ref="F3"/>
    </sortState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1" connectionId="1" xr16:uid="{00000000-0016-0000-0100-000001000000}" autoFormatId="16" applyNumberFormats="0" applyBorderFormats="0" applyFontFormats="1" applyPatternFormats="1" applyAlignmentFormats="0" applyWidthHeightFormats="0">
  <queryTableRefresh nextId="11">
    <queryTableFields count="8">
      <queryTableField id="1" name="등록번호"/>
      <queryTableField id="2" name="모델"/>
      <queryTableField id="4" name="기어"/>
      <queryTableField id="5" name="주행거리"/>
      <queryTableField id="6" name="가격"/>
      <queryTableField id="7" name="지역"/>
      <queryTableField id="9" name="업체"/>
      <queryTableField id="10" name="등록일"/>
    </queryTableFields>
    <queryTableDeletedFields count="2">
      <deletedField name="연식"/>
      <deletedField name="상태"/>
    </queryTableDeletedFields>
    <sortState xmlns:xlrd2="http://schemas.microsoft.com/office/spreadsheetml/2017/richdata2" ref="B4:I36">
      <sortCondition ref="F3"/>
    </sortState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1" connectionId="2" xr16:uid="{00000000-0016-0000-0600-000002000000}" autoFormatId="16" applyNumberFormats="0" applyBorderFormats="0" applyFontFormats="1" applyPatternFormats="1" applyAlignmentFormats="0" applyWidthHeightFormats="0">
  <queryTableRefresh nextId="11">
    <queryTableFields count="6">
      <queryTableField id="4" name="거래구분"/>
      <queryTableField id="5" name="상품명"/>
      <queryTableField id="6" name="주문수량"/>
      <queryTableField id="7" name="판매수량"/>
      <queryTableField id="8" name="가격"/>
      <queryTableField id="9" name="포인트"/>
    </queryTableFields>
    <queryTableDeletedFields count="4">
      <deletedField name="주문순서"/>
      <deletedField name="주문일자"/>
      <deletedField name="주문코드"/>
      <deletedField name="비고"/>
    </queryTableDeleted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R57"/>
  <sheetViews>
    <sheetView workbookViewId="0">
      <selection activeCell="J14" sqref="J14"/>
    </sheetView>
  </sheetViews>
  <sheetFormatPr defaultRowHeight="16.5" x14ac:dyDescent="0.3"/>
  <cols>
    <col min="5" max="5" width="9.875" customWidth="1"/>
    <col min="6" max="6" width="9.75" customWidth="1"/>
    <col min="8" max="8" width="9.375" customWidth="1"/>
    <col min="9" max="9" width="12.75" customWidth="1"/>
  </cols>
  <sheetData>
    <row r="2" spans="2:18" x14ac:dyDescent="0.3">
      <c r="B2" s="1" t="s">
        <v>0</v>
      </c>
      <c r="C2" s="1" t="s">
        <v>1</v>
      </c>
      <c r="D2" s="1" t="s">
        <v>2</v>
      </c>
      <c r="E2" s="2" t="s">
        <v>3</v>
      </c>
      <c r="F2" s="2" t="s">
        <v>4</v>
      </c>
      <c r="G2" s="1" t="s">
        <v>5</v>
      </c>
      <c r="H2" s="1" t="s">
        <v>6</v>
      </c>
      <c r="I2" s="1" t="s">
        <v>7</v>
      </c>
      <c r="K2" s="39" t="s">
        <v>162</v>
      </c>
    </row>
    <row r="3" spans="2:18" x14ac:dyDescent="0.3">
      <c r="B3" s="3">
        <v>7</v>
      </c>
      <c r="C3" s="3" t="s">
        <v>8</v>
      </c>
      <c r="D3" s="3" t="s">
        <v>9</v>
      </c>
      <c r="E3" s="4">
        <v>98000</v>
      </c>
      <c r="F3" s="4">
        <v>380</v>
      </c>
      <c r="G3" s="3" t="s">
        <v>10</v>
      </c>
      <c r="H3" s="3" t="s">
        <v>11</v>
      </c>
      <c r="I3" s="5">
        <v>44220</v>
      </c>
      <c r="K3" s="38" t="s">
        <v>169</v>
      </c>
    </row>
    <row r="4" spans="2:18" x14ac:dyDescent="0.3">
      <c r="B4" s="3">
        <v>5</v>
      </c>
      <c r="C4" s="3" t="s">
        <v>12</v>
      </c>
      <c r="D4" s="3" t="s">
        <v>13</v>
      </c>
      <c r="E4" s="4">
        <v>80000</v>
      </c>
      <c r="F4" s="4">
        <v>380</v>
      </c>
      <c r="G4" s="3" t="s">
        <v>14</v>
      </c>
      <c r="H4" s="3" t="s">
        <v>11</v>
      </c>
      <c r="I4" s="5">
        <v>44218</v>
      </c>
      <c r="K4" s="38" t="s">
        <v>163</v>
      </c>
    </row>
    <row r="5" spans="2:18" x14ac:dyDescent="0.3">
      <c r="B5" s="3">
        <v>8</v>
      </c>
      <c r="C5" s="3" t="s">
        <v>12</v>
      </c>
      <c r="D5" s="3" t="s">
        <v>13</v>
      </c>
      <c r="E5" s="4">
        <v>74000</v>
      </c>
      <c r="F5" s="4">
        <v>400</v>
      </c>
      <c r="G5" s="3" t="s">
        <v>15</v>
      </c>
      <c r="H5" s="3" t="s">
        <v>11</v>
      </c>
      <c r="I5" s="5">
        <v>44221</v>
      </c>
      <c r="K5" s="38" t="s">
        <v>164</v>
      </c>
    </row>
    <row r="6" spans="2:18" x14ac:dyDescent="0.3">
      <c r="B6" s="3">
        <v>3</v>
      </c>
      <c r="C6" s="3" t="s">
        <v>12</v>
      </c>
      <c r="D6" s="3" t="s">
        <v>9</v>
      </c>
      <c r="E6" s="4">
        <v>130000</v>
      </c>
      <c r="F6" s="4">
        <v>410</v>
      </c>
      <c r="G6" s="3" t="s">
        <v>16</v>
      </c>
      <c r="H6" s="3" t="s">
        <v>17</v>
      </c>
      <c r="I6" s="5">
        <v>44216</v>
      </c>
      <c r="K6" s="38"/>
    </row>
    <row r="7" spans="2:18" x14ac:dyDescent="0.3">
      <c r="B7" s="3">
        <v>9</v>
      </c>
      <c r="C7" s="3" t="s">
        <v>8</v>
      </c>
      <c r="D7" s="3" t="s">
        <v>9</v>
      </c>
      <c r="E7" s="4">
        <v>100000</v>
      </c>
      <c r="F7" s="4">
        <v>440</v>
      </c>
      <c r="G7" s="3" t="s">
        <v>18</v>
      </c>
      <c r="H7" s="3" t="s">
        <v>11</v>
      </c>
      <c r="I7" s="5">
        <v>44222</v>
      </c>
      <c r="K7" s="38" t="s">
        <v>165</v>
      </c>
    </row>
    <row r="8" spans="2:18" x14ac:dyDescent="0.3">
      <c r="B8" s="3">
        <v>1</v>
      </c>
      <c r="C8" s="3" t="s">
        <v>8</v>
      </c>
      <c r="D8" s="3" t="s">
        <v>13</v>
      </c>
      <c r="E8" s="4">
        <v>122380</v>
      </c>
      <c r="F8" s="4">
        <v>450</v>
      </c>
      <c r="G8" s="3" t="s">
        <v>16</v>
      </c>
      <c r="H8" s="3" t="s">
        <v>11</v>
      </c>
      <c r="I8" s="5">
        <v>44214</v>
      </c>
      <c r="K8" s="38" t="s">
        <v>166</v>
      </c>
    </row>
    <row r="9" spans="2:18" x14ac:dyDescent="0.3">
      <c r="B9" s="3">
        <v>4</v>
      </c>
      <c r="C9" s="3" t="s">
        <v>12</v>
      </c>
      <c r="D9" s="3" t="s">
        <v>13</v>
      </c>
      <c r="E9" s="4">
        <v>110000</v>
      </c>
      <c r="F9" s="4">
        <v>460</v>
      </c>
      <c r="G9" s="3" t="s">
        <v>16</v>
      </c>
      <c r="H9" s="3" t="s">
        <v>11</v>
      </c>
      <c r="I9" s="5">
        <v>44217</v>
      </c>
      <c r="K9" s="38" t="s">
        <v>167</v>
      </c>
    </row>
    <row r="10" spans="2:18" x14ac:dyDescent="0.3">
      <c r="B10" s="3">
        <v>6</v>
      </c>
      <c r="C10" s="3" t="s">
        <v>19</v>
      </c>
      <c r="D10" s="3" t="s">
        <v>13</v>
      </c>
      <c r="E10" s="4">
        <v>120700</v>
      </c>
      <c r="F10" s="4">
        <v>480</v>
      </c>
      <c r="G10" s="3" t="s">
        <v>14</v>
      </c>
      <c r="H10" s="3" t="s">
        <v>17</v>
      </c>
      <c r="I10" s="5">
        <v>44219</v>
      </c>
      <c r="K10" s="38" t="s">
        <v>168</v>
      </c>
    </row>
    <row r="11" spans="2:18" x14ac:dyDescent="0.3">
      <c r="B11" s="3">
        <v>12</v>
      </c>
      <c r="C11" s="3" t="s">
        <v>8</v>
      </c>
      <c r="D11" s="3" t="s">
        <v>13</v>
      </c>
      <c r="E11" s="4">
        <v>90000</v>
      </c>
      <c r="F11" s="4">
        <v>500</v>
      </c>
      <c r="G11" s="3" t="s">
        <v>16</v>
      </c>
      <c r="H11" s="3" t="s">
        <v>17</v>
      </c>
      <c r="I11" s="5">
        <v>44225</v>
      </c>
    </row>
    <row r="12" spans="2:18" x14ac:dyDescent="0.3">
      <c r="B12" s="3">
        <v>13</v>
      </c>
      <c r="C12" s="3" t="s">
        <v>12</v>
      </c>
      <c r="D12" s="3" t="s">
        <v>13</v>
      </c>
      <c r="E12" s="4">
        <v>51000</v>
      </c>
      <c r="F12" s="4">
        <v>500</v>
      </c>
      <c r="G12" s="3" t="s">
        <v>16</v>
      </c>
      <c r="H12" s="3" t="s">
        <v>17</v>
      </c>
      <c r="I12" s="5">
        <v>44226</v>
      </c>
    </row>
    <row r="13" spans="2:18" x14ac:dyDescent="0.3">
      <c r="B13" s="3">
        <v>14</v>
      </c>
      <c r="C13" s="3" t="s">
        <v>8</v>
      </c>
      <c r="D13" s="3" t="s">
        <v>13</v>
      </c>
      <c r="E13" s="4">
        <v>65000</v>
      </c>
      <c r="F13" s="4">
        <v>530</v>
      </c>
      <c r="G13" s="3" t="s">
        <v>16</v>
      </c>
      <c r="H13" s="3" t="s">
        <v>17</v>
      </c>
      <c r="I13" s="5">
        <v>44227</v>
      </c>
    </row>
    <row r="14" spans="2:18" x14ac:dyDescent="0.3">
      <c r="B14" s="3">
        <v>11</v>
      </c>
      <c r="C14" s="3" t="s">
        <v>8</v>
      </c>
      <c r="D14" s="3" t="s">
        <v>13</v>
      </c>
      <c r="E14" s="4">
        <v>45000</v>
      </c>
      <c r="F14" s="4">
        <v>540</v>
      </c>
      <c r="G14" s="3" t="s">
        <v>16</v>
      </c>
      <c r="H14" s="3" t="s">
        <v>20</v>
      </c>
      <c r="I14" s="5">
        <v>44224</v>
      </c>
    </row>
    <row r="15" spans="2:18" x14ac:dyDescent="0.3">
      <c r="B15" s="3">
        <v>2</v>
      </c>
      <c r="C15" s="3" t="s">
        <v>12</v>
      </c>
      <c r="D15" s="3" t="s">
        <v>13</v>
      </c>
      <c r="E15" s="4">
        <v>130000</v>
      </c>
      <c r="F15" s="4">
        <v>550</v>
      </c>
      <c r="G15" s="3" t="s">
        <v>21</v>
      </c>
      <c r="H15" s="3" t="s">
        <v>11</v>
      </c>
      <c r="I15" s="5">
        <v>44215</v>
      </c>
      <c r="K15" s="1"/>
      <c r="L15" s="1"/>
      <c r="M15" s="1"/>
      <c r="N15" s="2"/>
      <c r="O15" s="2"/>
      <c r="P15" s="1"/>
      <c r="Q15" s="1"/>
      <c r="R15" s="1"/>
    </row>
    <row r="16" spans="2:18" x14ac:dyDescent="0.3">
      <c r="B16" s="3">
        <v>17</v>
      </c>
      <c r="C16" s="3" t="s">
        <v>8</v>
      </c>
      <c r="D16" s="3" t="s">
        <v>13</v>
      </c>
      <c r="E16" s="4">
        <v>29300</v>
      </c>
      <c r="F16" s="4">
        <v>550</v>
      </c>
      <c r="G16" s="3" t="s">
        <v>14</v>
      </c>
      <c r="H16" s="3" t="s">
        <v>20</v>
      </c>
      <c r="I16" s="5">
        <v>44230</v>
      </c>
      <c r="K16" s="3"/>
      <c r="L16" s="3"/>
      <c r="M16" s="3"/>
      <c r="N16" s="4"/>
      <c r="O16" s="4"/>
      <c r="P16" s="3"/>
      <c r="Q16" s="3"/>
      <c r="R16" s="5"/>
    </row>
    <row r="17" spans="2:18" x14ac:dyDescent="0.3">
      <c r="B17" s="3">
        <v>15</v>
      </c>
      <c r="C17" s="3" t="s">
        <v>12</v>
      </c>
      <c r="D17" s="3" t="s">
        <v>13</v>
      </c>
      <c r="E17" s="4">
        <v>35000</v>
      </c>
      <c r="F17" s="4">
        <v>610</v>
      </c>
      <c r="G17" s="3" t="s">
        <v>21</v>
      </c>
      <c r="H17" s="3" t="s">
        <v>17</v>
      </c>
      <c r="I17" s="5">
        <v>44228</v>
      </c>
      <c r="K17" s="3"/>
      <c r="L17" s="3"/>
      <c r="M17" s="3"/>
      <c r="N17" s="4"/>
      <c r="O17" s="4"/>
      <c r="P17" s="3"/>
      <c r="Q17" s="3"/>
      <c r="R17" s="5"/>
    </row>
    <row r="18" spans="2:18" x14ac:dyDescent="0.3">
      <c r="B18" s="3">
        <v>16</v>
      </c>
      <c r="C18" s="3" t="s">
        <v>19</v>
      </c>
      <c r="D18" s="3" t="s">
        <v>13</v>
      </c>
      <c r="E18" s="4">
        <v>30000</v>
      </c>
      <c r="F18" s="4">
        <v>620</v>
      </c>
      <c r="G18" s="3" t="s">
        <v>14</v>
      </c>
      <c r="H18" s="3" t="s">
        <v>20</v>
      </c>
      <c r="I18" s="5">
        <v>44229</v>
      </c>
      <c r="K18" s="3"/>
      <c r="L18" s="3"/>
      <c r="M18" s="3"/>
      <c r="N18" s="4"/>
      <c r="O18" s="4"/>
      <c r="P18" s="3"/>
      <c r="Q18" s="3"/>
      <c r="R18" s="5"/>
    </row>
    <row r="19" spans="2:18" x14ac:dyDescent="0.3">
      <c r="B19" s="3">
        <v>10</v>
      </c>
      <c r="C19" s="3" t="s">
        <v>19</v>
      </c>
      <c r="D19" s="3" t="s">
        <v>13</v>
      </c>
      <c r="E19" s="4">
        <v>20000</v>
      </c>
      <c r="F19" s="4">
        <v>650</v>
      </c>
      <c r="G19" s="3" t="s">
        <v>16</v>
      </c>
      <c r="H19" s="3" t="s">
        <v>11</v>
      </c>
      <c r="I19" s="5">
        <v>44223</v>
      </c>
      <c r="K19" s="3"/>
      <c r="L19" s="3"/>
      <c r="M19" s="3"/>
      <c r="N19" s="4"/>
      <c r="O19" s="4"/>
      <c r="P19" s="3"/>
      <c r="Q19" s="3"/>
      <c r="R19" s="5"/>
    </row>
    <row r="20" spans="2:18" x14ac:dyDescent="0.3">
      <c r="B20" s="3">
        <v>20</v>
      </c>
      <c r="C20" s="3" t="s">
        <v>22</v>
      </c>
      <c r="D20" s="3" t="s">
        <v>13</v>
      </c>
      <c r="E20" s="4">
        <v>20000</v>
      </c>
      <c r="F20" s="4">
        <v>670</v>
      </c>
      <c r="G20" s="3" t="s">
        <v>23</v>
      </c>
      <c r="H20" s="3" t="s">
        <v>11</v>
      </c>
      <c r="I20" s="5">
        <v>44233</v>
      </c>
      <c r="K20" s="3"/>
      <c r="L20" s="3"/>
      <c r="M20" s="3"/>
      <c r="N20" s="4"/>
      <c r="O20" s="4"/>
      <c r="P20" s="3"/>
      <c r="Q20" s="3"/>
      <c r="R20" s="5"/>
    </row>
    <row r="21" spans="2:18" x14ac:dyDescent="0.3">
      <c r="B21" s="3">
        <v>18</v>
      </c>
      <c r="C21" s="3" t="s">
        <v>24</v>
      </c>
      <c r="D21" s="3" t="s">
        <v>13</v>
      </c>
      <c r="E21" s="4">
        <v>39000</v>
      </c>
      <c r="F21" s="4">
        <v>799</v>
      </c>
      <c r="G21" s="3" t="s">
        <v>18</v>
      </c>
      <c r="H21" s="3" t="s">
        <v>17</v>
      </c>
      <c r="I21" s="5">
        <v>44231</v>
      </c>
      <c r="K21" s="3"/>
      <c r="L21" s="3"/>
      <c r="M21" s="3"/>
      <c r="N21" s="4"/>
      <c r="O21" s="4"/>
      <c r="P21" s="3"/>
      <c r="Q21" s="3"/>
      <c r="R21" s="5"/>
    </row>
    <row r="22" spans="2:18" x14ac:dyDescent="0.3">
      <c r="B22" s="3">
        <v>29</v>
      </c>
      <c r="C22" s="3" t="s">
        <v>24</v>
      </c>
      <c r="D22" s="3" t="s">
        <v>9</v>
      </c>
      <c r="E22" s="4">
        <v>20000</v>
      </c>
      <c r="F22" s="4">
        <v>800</v>
      </c>
      <c r="G22" s="3" t="s">
        <v>15</v>
      </c>
      <c r="H22" s="3" t="s">
        <v>17</v>
      </c>
      <c r="I22" s="5">
        <v>44242</v>
      </c>
      <c r="K22" s="3"/>
      <c r="L22" s="3"/>
      <c r="M22" s="3"/>
      <c r="N22" s="4"/>
      <c r="O22" s="4"/>
      <c r="P22" s="3"/>
      <c r="Q22" s="3"/>
      <c r="R22" s="5"/>
    </row>
    <row r="23" spans="2:18" x14ac:dyDescent="0.3">
      <c r="B23" s="3">
        <v>31</v>
      </c>
      <c r="C23" s="3" t="s">
        <v>22</v>
      </c>
      <c r="D23" s="3" t="s">
        <v>13</v>
      </c>
      <c r="E23" s="4">
        <v>30000</v>
      </c>
      <c r="F23" s="4">
        <v>850</v>
      </c>
      <c r="G23" s="3" t="s">
        <v>16</v>
      </c>
      <c r="H23" s="3" t="s">
        <v>17</v>
      </c>
      <c r="I23" s="5">
        <v>44244</v>
      </c>
      <c r="K23" s="3"/>
      <c r="L23" s="3"/>
      <c r="M23" s="3"/>
      <c r="N23" s="4"/>
      <c r="O23" s="4"/>
      <c r="P23" s="3"/>
      <c r="Q23" s="3"/>
      <c r="R23" s="5"/>
    </row>
    <row r="24" spans="2:18" x14ac:dyDescent="0.3">
      <c r="B24" s="3">
        <v>24</v>
      </c>
      <c r="C24" s="3" t="s">
        <v>24</v>
      </c>
      <c r="D24" s="3" t="s">
        <v>9</v>
      </c>
      <c r="E24" s="4">
        <v>30000</v>
      </c>
      <c r="F24" s="4">
        <v>890</v>
      </c>
      <c r="G24" s="3" t="s">
        <v>16</v>
      </c>
      <c r="H24" s="3" t="s">
        <v>11</v>
      </c>
      <c r="I24" s="5">
        <v>44237</v>
      </c>
      <c r="K24" s="3"/>
      <c r="L24" s="3"/>
      <c r="M24" s="3"/>
      <c r="N24" s="4"/>
      <c r="O24" s="4"/>
      <c r="P24" s="3"/>
      <c r="Q24" s="3"/>
      <c r="R24" s="5"/>
    </row>
    <row r="25" spans="2:18" x14ac:dyDescent="0.3">
      <c r="B25" s="3">
        <v>19</v>
      </c>
      <c r="C25" s="3" t="s">
        <v>24</v>
      </c>
      <c r="D25" s="3" t="s">
        <v>13</v>
      </c>
      <c r="E25" s="4">
        <v>15000</v>
      </c>
      <c r="F25" s="4">
        <v>898</v>
      </c>
      <c r="G25" s="3" t="s">
        <v>21</v>
      </c>
      <c r="H25" s="3" t="s">
        <v>17</v>
      </c>
      <c r="I25" s="5">
        <v>44232</v>
      </c>
      <c r="K25" s="3"/>
      <c r="L25" s="3"/>
      <c r="M25" s="3"/>
      <c r="N25" s="4"/>
      <c r="O25" s="4"/>
      <c r="P25" s="3"/>
      <c r="Q25" s="3"/>
      <c r="R25" s="5"/>
    </row>
    <row r="26" spans="2:18" x14ac:dyDescent="0.3">
      <c r="B26" s="3">
        <v>25</v>
      </c>
      <c r="C26" s="3" t="s">
        <v>22</v>
      </c>
      <c r="D26" s="3" t="s">
        <v>13</v>
      </c>
      <c r="E26" s="4">
        <v>36000</v>
      </c>
      <c r="F26" s="4">
        <v>910</v>
      </c>
      <c r="G26" s="3" t="s">
        <v>16</v>
      </c>
      <c r="H26" s="3" t="s">
        <v>11</v>
      </c>
      <c r="I26" s="5">
        <v>44238</v>
      </c>
      <c r="K26" s="3"/>
      <c r="L26" s="3"/>
      <c r="M26" s="3"/>
      <c r="N26" s="4"/>
      <c r="O26" s="4"/>
      <c r="P26" s="3"/>
      <c r="Q26" s="3"/>
      <c r="R26" s="5"/>
    </row>
    <row r="27" spans="2:18" x14ac:dyDescent="0.3">
      <c r="B27" s="3">
        <v>30</v>
      </c>
      <c r="C27" s="3" t="s">
        <v>22</v>
      </c>
      <c r="D27" s="3" t="s">
        <v>13</v>
      </c>
      <c r="E27" s="4">
        <v>30000</v>
      </c>
      <c r="F27" s="4">
        <v>950</v>
      </c>
      <c r="G27" s="3" t="s">
        <v>16</v>
      </c>
      <c r="H27" s="3" t="s">
        <v>17</v>
      </c>
      <c r="I27" s="5">
        <v>44243</v>
      </c>
      <c r="K27" s="3"/>
      <c r="L27" s="3"/>
      <c r="M27" s="3"/>
      <c r="N27" s="4"/>
      <c r="O27" s="4"/>
      <c r="P27" s="3"/>
      <c r="Q27" s="3"/>
      <c r="R27" s="5"/>
    </row>
    <row r="28" spans="2:18" x14ac:dyDescent="0.3">
      <c r="B28" s="3">
        <v>32</v>
      </c>
      <c r="C28" s="3" t="s">
        <v>22</v>
      </c>
      <c r="D28" s="3" t="s">
        <v>13</v>
      </c>
      <c r="E28" s="4">
        <v>8000</v>
      </c>
      <c r="F28" s="4">
        <v>990</v>
      </c>
      <c r="G28" s="3" t="s">
        <v>14</v>
      </c>
      <c r="H28" s="3" t="s">
        <v>17</v>
      </c>
      <c r="I28" s="5">
        <v>44245</v>
      </c>
      <c r="K28" s="3"/>
      <c r="L28" s="3"/>
      <c r="M28" s="3"/>
      <c r="N28" s="4"/>
      <c r="O28" s="4"/>
      <c r="P28" s="3"/>
      <c r="Q28" s="3"/>
      <c r="R28" s="5"/>
    </row>
    <row r="29" spans="2:18" x14ac:dyDescent="0.3">
      <c r="B29" s="3">
        <v>28</v>
      </c>
      <c r="C29" s="3" t="s">
        <v>22</v>
      </c>
      <c r="D29" s="3" t="s">
        <v>13</v>
      </c>
      <c r="E29" s="4">
        <v>16000</v>
      </c>
      <c r="F29" s="4">
        <v>1000</v>
      </c>
      <c r="G29" s="3" t="s">
        <v>16</v>
      </c>
      <c r="H29" s="3" t="s">
        <v>11</v>
      </c>
      <c r="I29" s="5">
        <v>44241</v>
      </c>
      <c r="K29" s="3"/>
      <c r="L29" s="3"/>
      <c r="M29" s="3"/>
      <c r="N29" s="4"/>
      <c r="O29" s="4"/>
      <c r="P29" s="3"/>
      <c r="Q29" s="3"/>
      <c r="R29" s="5"/>
    </row>
    <row r="30" spans="2:18" x14ac:dyDescent="0.3">
      <c r="B30" s="3">
        <v>34</v>
      </c>
      <c r="C30" s="3" t="s">
        <v>22</v>
      </c>
      <c r="D30" s="3" t="s">
        <v>13</v>
      </c>
      <c r="E30" s="4">
        <v>3000</v>
      </c>
      <c r="F30" s="4">
        <v>1010</v>
      </c>
      <c r="G30" s="3" t="s">
        <v>14</v>
      </c>
      <c r="H30" s="3" t="s">
        <v>17</v>
      </c>
      <c r="I30" s="5">
        <v>44247</v>
      </c>
    </row>
    <row r="31" spans="2:18" x14ac:dyDescent="0.3">
      <c r="B31" s="3">
        <v>21</v>
      </c>
      <c r="C31" s="3" t="s">
        <v>24</v>
      </c>
      <c r="D31" s="3" t="s">
        <v>9</v>
      </c>
      <c r="E31" s="4">
        <v>18000</v>
      </c>
      <c r="F31" s="4">
        <v>1030</v>
      </c>
      <c r="G31" s="3" t="s">
        <v>16</v>
      </c>
      <c r="H31" s="3" t="s">
        <v>11</v>
      </c>
      <c r="I31" s="5">
        <v>44234</v>
      </c>
    </row>
    <row r="32" spans="2:18" x14ac:dyDescent="0.3">
      <c r="B32" s="3">
        <v>26</v>
      </c>
      <c r="C32" s="3" t="s">
        <v>24</v>
      </c>
      <c r="D32" s="3" t="s">
        <v>13</v>
      </c>
      <c r="E32" s="4">
        <v>18000</v>
      </c>
      <c r="F32" s="4">
        <v>1030</v>
      </c>
      <c r="G32" s="3" t="s">
        <v>16</v>
      </c>
      <c r="H32" s="3" t="s">
        <v>17</v>
      </c>
      <c r="I32" s="5">
        <v>44239</v>
      </c>
    </row>
    <row r="33" spans="2:9" x14ac:dyDescent="0.3">
      <c r="B33" s="3">
        <v>27</v>
      </c>
      <c r="C33" s="3" t="s">
        <v>22</v>
      </c>
      <c r="D33" s="3" t="s">
        <v>13</v>
      </c>
      <c r="E33" s="4">
        <v>10000</v>
      </c>
      <c r="F33" s="4">
        <v>1090</v>
      </c>
      <c r="G33" s="3" t="s">
        <v>16</v>
      </c>
      <c r="H33" s="3" t="s">
        <v>17</v>
      </c>
      <c r="I33" s="5">
        <v>44240</v>
      </c>
    </row>
    <row r="34" spans="2:9" x14ac:dyDescent="0.3">
      <c r="B34" s="3">
        <v>22</v>
      </c>
      <c r="C34" s="3" t="s">
        <v>22</v>
      </c>
      <c r="D34" s="3" t="s">
        <v>13</v>
      </c>
      <c r="E34" s="4">
        <v>34000</v>
      </c>
      <c r="F34" s="4">
        <v>1100</v>
      </c>
      <c r="G34" s="3" t="s">
        <v>14</v>
      </c>
      <c r="H34" s="3" t="s">
        <v>17</v>
      </c>
      <c r="I34" s="5">
        <v>44235</v>
      </c>
    </row>
    <row r="35" spans="2:9" x14ac:dyDescent="0.3">
      <c r="B35" s="3">
        <v>33</v>
      </c>
      <c r="C35" s="3" t="s">
        <v>22</v>
      </c>
      <c r="D35" s="3" t="s">
        <v>13</v>
      </c>
      <c r="E35" s="4">
        <v>1200</v>
      </c>
      <c r="F35" s="4">
        <v>1130</v>
      </c>
      <c r="G35" s="3" t="s">
        <v>14</v>
      </c>
      <c r="H35" s="3" t="s">
        <v>17</v>
      </c>
      <c r="I35" s="5">
        <v>44246</v>
      </c>
    </row>
    <row r="36" spans="2:9" x14ac:dyDescent="0.3">
      <c r="B36" s="3">
        <v>23</v>
      </c>
      <c r="C36" s="3" t="s">
        <v>24</v>
      </c>
      <c r="D36" s="3" t="s">
        <v>13</v>
      </c>
      <c r="E36" s="4">
        <v>10000</v>
      </c>
      <c r="F36" s="4">
        <v>1200</v>
      </c>
      <c r="G36" s="3" t="s">
        <v>14</v>
      </c>
      <c r="H36" s="3" t="s">
        <v>11</v>
      </c>
      <c r="I36" s="5">
        <v>44236</v>
      </c>
    </row>
    <row r="38" spans="2:9" x14ac:dyDescent="0.3">
      <c r="B38" t="s">
        <v>186</v>
      </c>
    </row>
    <row r="39" spans="2:9" x14ac:dyDescent="0.3">
      <c r="B39" t="b">
        <f>OR(AND(D3="향수",E3&lt;=50000,F3&gt;=800,F3&lt;=1000),G3="서울")</f>
        <v>0</v>
      </c>
    </row>
    <row r="43" spans="2:9" x14ac:dyDescent="0.3">
      <c r="B43" s="1" t="s">
        <v>0</v>
      </c>
      <c r="C43" s="1" t="s">
        <v>1</v>
      </c>
      <c r="D43" s="1" t="s">
        <v>2</v>
      </c>
      <c r="E43" s="2" t="s">
        <v>3</v>
      </c>
      <c r="F43" s="2" t="s">
        <v>4</v>
      </c>
      <c r="G43" s="1" t="s">
        <v>5</v>
      </c>
      <c r="H43" s="1" t="s">
        <v>6</v>
      </c>
      <c r="I43" s="1" t="s">
        <v>7</v>
      </c>
    </row>
    <row r="44" spans="2:9" x14ac:dyDescent="0.3">
      <c r="B44" s="3">
        <v>5</v>
      </c>
      <c r="C44" s="3" t="s">
        <v>8</v>
      </c>
      <c r="D44" s="3" t="s">
        <v>13</v>
      </c>
      <c r="E44" s="4">
        <v>80000</v>
      </c>
      <c r="F44" s="4">
        <v>380</v>
      </c>
      <c r="G44" s="3" t="s">
        <v>14</v>
      </c>
      <c r="H44" s="3" t="s">
        <v>11</v>
      </c>
      <c r="I44" s="5">
        <v>44218</v>
      </c>
    </row>
    <row r="45" spans="2:9" x14ac:dyDescent="0.3">
      <c r="B45" s="3">
        <v>6</v>
      </c>
      <c r="C45" s="3" t="s">
        <v>8</v>
      </c>
      <c r="D45" s="3" t="s">
        <v>13</v>
      </c>
      <c r="E45" s="4">
        <v>120700</v>
      </c>
      <c r="F45" s="4">
        <v>480</v>
      </c>
      <c r="G45" s="3" t="s">
        <v>14</v>
      </c>
      <c r="H45" s="3" t="s">
        <v>11</v>
      </c>
      <c r="I45" s="5">
        <v>44219</v>
      </c>
    </row>
    <row r="46" spans="2:9" x14ac:dyDescent="0.3">
      <c r="B46" s="3">
        <v>17</v>
      </c>
      <c r="C46" s="3" t="s">
        <v>8</v>
      </c>
      <c r="D46" s="3" t="s">
        <v>13</v>
      </c>
      <c r="E46" s="4">
        <v>29300</v>
      </c>
      <c r="F46" s="4">
        <v>550</v>
      </c>
      <c r="G46" s="3" t="s">
        <v>14</v>
      </c>
      <c r="H46" s="3" t="s">
        <v>11</v>
      </c>
      <c r="I46" s="5">
        <v>44230</v>
      </c>
    </row>
    <row r="47" spans="2:9" x14ac:dyDescent="0.3">
      <c r="B47" s="3">
        <v>16</v>
      </c>
      <c r="C47" s="3" t="s">
        <v>8</v>
      </c>
      <c r="D47" s="3" t="s">
        <v>13</v>
      </c>
      <c r="E47" s="4">
        <v>30000</v>
      </c>
      <c r="F47" s="4">
        <v>620</v>
      </c>
      <c r="G47" s="3" t="s">
        <v>14</v>
      </c>
      <c r="H47" s="3" t="s">
        <v>11</v>
      </c>
      <c r="I47" s="5">
        <v>44229</v>
      </c>
    </row>
    <row r="48" spans="2:9" x14ac:dyDescent="0.3">
      <c r="B48" s="3">
        <v>31</v>
      </c>
      <c r="C48" s="3" t="s">
        <v>22</v>
      </c>
      <c r="D48" s="3" t="s">
        <v>13</v>
      </c>
      <c r="E48" s="4">
        <v>30000</v>
      </c>
      <c r="F48" s="4">
        <v>850</v>
      </c>
      <c r="G48" s="3" t="s">
        <v>16</v>
      </c>
      <c r="H48" s="3" t="s">
        <v>11</v>
      </c>
      <c r="I48" s="5">
        <v>44244</v>
      </c>
    </row>
    <row r="49" spans="2:9" x14ac:dyDescent="0.3">
      <c r="B49" s="3">
        <v>19</v>
      </c>
      <c r="C49" s="3" t="s">
        <v>22</v>
      </c>
      <c r="D49" s="3" t="s">
        <v>13</v>
      </c>
      <c r="E49" s="4">
        <v>15000</v>
      </c>
      <c r="F49" s="4">
        <v>898</v>
      </c>
      <c r="G49" s="3" t="s">
        <v>21</v>
      </c>
      <c r="H49" s="3" t="s">
        <v>11</v>
      </c>
      <c r="I49" s="5">
        <v>44232</v>
      </c>
    </row>
    <row r="50" spans="2:9" x14ac:dyDescent="0.3">
      <c r="B50" s="3">
        <v>25</v>
      </c>
      <c r="C50" s="3" t="s">
        <v>22</v>
      </c>
      <c r="D50" s="3" t="s">
        <v>13</v>
      </c>
      <c r="E50" s="4">
        <v>36000</v>
      </c>
      <c r="F50" s="4">
        <v>910</v>
      </c>
      <c r="G50" s="3" t="s">
        <v>16</v>
      </c>
      <c r="H50" s="3" t="s">
        <v>11</v>
      </c>
      <c r="I50" s="5">
        <v>44238</v>
      </c>
    </row>
    <row r="51" spans="2:9" x14ac:dyDescent="0.3">
      <c r="B51" s="3">
        <v>30</v>
      </c>
      <c r="C51" s="3" t="s">
        <v>22</v>
      </c>
      <c r="D51" s="3" t="s">
        <v>13</v>
      </c>
      <c r="E51" s="4">
        <v>30000</v>
      </c>
      <c r="F51" s="4">
        <v>950</v>
      </c>
      <c r="G51" s="3" t="s">
        <v>16</v>
      </c>
      <c r="H51" s="3" t="s">
        <v>11</v>
      </c>
      <c r="I51" s="5">
        <v>44243</v>
      </c>
    </row>
    <row r="52" spans="2:9" x14ac:dyDescent="0.3">
      <c r="B52" s="3">
        <v>32</v>
      </c>
      <c r="C52" s="3" t="s">
        <v>22</v>
      </c>
      <c r="D52" s="3" t="s">
        <v>13</v>
      </c>
      <c r="E52" s="4">
        <v>8000</v>
      </c>
      <c r="F52" s="4">
        <v>990</v>
      </c>
      <c r="G52" s="3" t="s">
        <v>14</v>
      </c>
      <c r="H52" s="3" t="s">
        <v>11</v>
      </c>
      <c r="I52" s="5">
        <v>44245</v>
      </c>
    </row>
    <row r="53" spans="2:9" x14ac:dyDescent="0.3">
      <c r="B53" s="3">
        <v>28</v>
      </c>
      <c r="C53" s="3" t="s">
        <v>22</v>
      </c>
      <c r="D53" s="3" t="s">
        <v>13</v>
      </c>
      <c r="E53" s="4">
        <v>16000</v>
      </c>
      <c r="F53" s="4">
        <v>1000</v>
      </c>
      <c r="G53" s="3" t="s">
        <v>16</v>
      </c>
      <c r="H53" s="3" t="s">
        <v>11</v>
      </c>
      <c r="I53" s="5">
        <v>44241</v>
      </c>
    </row>
    <row r="54" spans="2:9" x14ac:dyDescent="0.3">
      <c r="B54" s="3">
        <v>34</v>
      </c>
      <c r="C54" s="3" t="s">
        <v>22</v>
      </c>
      <c r="D54" s="3" t="s">
        <v>13</v>
      </c>
      <c r="E54" s="4">
        <v>3000</v>
      </c>
      <c r="F54" s="4">
        <v>1010</v>
      </c>
      <c r="G54" s="3" t="s">
        <v>14</v>
      </c>
      <c r="H54" s="3" t="s">
        <v>11</v>
      </c>
      <c r="I54" s="5">
        <v>44247</v>
      </c>
    </row>
    <row r="55" spans="2:9" x14ac:dyDescent="0.3">
      <c r="B55" s="3">
        <v>22</v>
      </c>
      <c r="C55" s="3" t="s">
        <v>22</v>
      </c>
      <c r="D55" s="3" t="s">
        <v>13</v>
      </c>
      <c r="E55" s="4">
        <v>34000</v>
      </c>
      <c r="F55" s="4">
        <v>1100</v>
      </c>
      <c r="G55" s="3" t="s">
        <v>14</v>
      </c>
      <c r="H55" s="3" t="s">
        <v>11</v>
      </c>
      <c r="I55" s="5">
        <v>44235</v>
      </c>
    </row>
    <row r="56" spans="2:9" x14ac:dyDescent="0.3">
      <c r="B56" s="3">
        <v>33</v>
      </c>
      <c r="C56" s="3" t="s">
        <v>22</v>
      </c>
      <c r="D56" s="3" t="s">
        <v>13</v>
      </c>
      <c r="E56" s="4">
        <v>1200</v>
      </c>
      <c r="F56" s="4">
        <v>1130</v>
      </c>
      <c r="G56" s="3" t="s">
        <v>14</v>
      </c>
      <c r="H56" s="3" t="s">
        <v>11</v>
      </c>
      <c r="I56" s="5">
        <v>44246</v>
      </c>
    </row>
    <row r="57" spans="2:9" x14ac:dyDescent="0.3">
      <c r="B57" s="3">
        <v>23</v>
      </c>
      <c r="C57" s="3" t="s">
        <v>22</v>
      </c>
      <c r="D57" s="3" t="s">
        <v>13</v>
      </c>
      <c r="E57" s="4">
        <v>10000</v>
      </c>
      <c r="F57" s="4">
        <v>1200</v>
      </c>
      <c r="G57" s="3" t="s">
        <v>14</v>
      </c>
      <c r="H57" s="3" t="s">
        <v>11</v>
      </c>
      <c r="I57" s="5">
        <v>44236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2:I36"/>
  <sheetViews>
    <sheetView workbookViewId="0"/>
  </sheetViews>
  <sheetFormatPr defaultRowHeight="16.5" x14ac:dyDescent="0.3"/>
  <cols>
    <col min="5" max="5" width="9.875" customWidth="1"/>
    <col min="6" max="6" width="9.75" customWidth="1"/>
    <col min="8" max="8" width="9.375" customWidth="1"/>
    <col min="9" max="9" width="12.75" customWidth="1"/>
  </cols>
  <sheetData>
    <row r="2" spans="2:9" x14ac:dyDescent="0.3">
      <c r="B2" s="1" t="s">
        <v>0</v>
      </c>
      <c r="C2" s="1" t="s">
        <v>1</v>
      </c>
      <c r="D2" s="1" t="s">
        <v>2</v>
      </c>
      <c r="E2" s="2" t="s">
        <v>3</v>
      </c>
      <c r="F2" s="2" t="s">
        <v>4</v>
      </c>
      <c r="G2" s="1" t="s">
        <v>5</v>
      </c>
      <c r="H2" s="1" t="s">
        <v>6</v>
      </c>
      <c r="I2" s="1" t="s">
        <v>7</v>
      </c>
    </row>
    <row r="3" spans="2:9" x14ac:dyDescent="0.3">
      <c r="B3" s="3">
        <v>7</v>
      </c>
      <c r="C3" s="3" t="s">
        <v>8</v>
      </c>
      <c r="D3" s="3" t="s">
        <v>9</v>
      </c>
      <c r="E3" s="4">
        <v>98000</v>
      </c>
      <c r="F3" s="4">
        <v>380</v>
      </c>
      <c r="G3" s="3" t="s">
        <v>10</v>
      </c>
      <c r="H3" s="3" t="s">
        <v>11</v>
      </c>
      <c r="I3" s="5">
        <v>44220</v>
      </c>
    </row>
    <row r="4" spans="2:9" x14ac:dyDescent="0.3">
      <c r="B4" s="3">
        <v>5</v>
      </c>
      <c r="C4" s="3" t="s">
        <v>8</v>
      </c>
      <c r="D4" s="3" t="s">
        <v>13</v>
      </c>
      <c r="E4" s="4">
        <v>80000</v>
      </c>
      <c r="F4" s="4">
        <v>380</v>
      </c>
      <c r="G4" s="3" t="s">
        <v>14</v>
      </c>
      <c r="H4" s="3" t="s">
        <v>11</v>
      </c>
      <c r="I4" s="5">
        <v>44218</v>
      </c>
    </row>
    <row r="5" spans="2:9" x14ac:dyDescent="0.3">
      <c r="B5" s="3">
        <v>8</v>
      </c>
      <c r="C5" s="3" t="s">
        <v>8</v>
      </c>
      <c r="D5" s="3" t="s">
        <v>13</v>
      </c>
      <c r="E5" s="4">
        <v>74000</v>
      </c>
      <c r="F5" s="4">
        <v>400</v>
      </c>
      <c r="G5" s="3" t="s">
        <v>15</v>
      </c>
      <c r="H5" s="3" t="s">
        <v>11</v>
      </c>
      <c r="I5" s="5">
        <v>44221</v>
      </c>
    </row>
    <row r="6" spans="2:9" x14ac:dyDescent="0.3">
      <c r="B6" s="3">
        <v>3</v>
      </c>
      <c r="C6" s="3" t="s">
        <v>8</v>
      </c>
      <c r="D6" s="3" t="s">
        <v>9</v>
      </c>
      <c r="E6" s="4">
        <v>130000</v>
      </c>
      <c r="F6" s="4">
        <v>410</v>
      </c>
      <c r="G6" s="3" t="s">
        <v>16</v>
      </c>
      <c r="H6" s="3" t="s">
        <v>11</v>
      </c>
      <c r="I6" s="5">
        <v>44216</v>
      </c>
    </row>
    <row r="7" spans="2:9" x14ac:dyDescent="0.3">
      <c r="B7" s="3">
        <v>9</v>
      </c>
      <c r="C7" s="3" t="s">
        <v>8</v>
      </c>
      <c r="D7" s="3" t="s">
        <v>9</v>
      </c>
      <c r="E7" s="4">
        <v>100000</v>
      </c>
      <c r="F7" s="4">
        <v>440</v>
      </c>
      <c r="G7" s="3" t="s">
        <v>18</v>
      </c>
      <c r="H7" s="3" t="s">
        <v>11</v>
      </c>
      <c r="I7" s="5">
        <v>44222</v>
      </c>
    </row>
    <row r="8" spans="2:9" x14ac:dyDescent="0.3">
      <c r="B8" s="3">
        <v>1</v>
      </c>
      <c r="C8" s="3" t="s">
        <v>8</v>
      </c>
      <c r="D8" s="3" t="s">
        <v>13</v>
      </c>
      <c r="E8" s="4">
        <v>122380</v>
      </c>
      <c r="F8" s="4">
        <v>450</v>
      </c>
      <c r="G8" s="3" t="s">
        <v>16</v>
      </c>
      <c r="H8" s="3" t="s">
        <v>11</v>
      </c>
      <c r="I8" s="5">
        <v>44214</v>
      </c>
    </row>
    <row r="9" spans="2:9" x14ac:dyDescent="0.3">
      <c r="B9" s="3">
        <v>4</v>
      </c>
      <c r="C9" s="3" t="s">
        <v>8</v>
      </c>
      <c r="D9" s="3" t="s">
        <v>13</v>
      </c>
      <c r="E9" s="4">
        <v>110000</v>
      </c>
      <c r="F9" s="4">
        <v>460</v>
      </c>
      <c r="G9" s="3" t="s">
        <v>16</v>
      </c>
      <c r="H9" s="3" t="s">
        <v>11</v>
      </c>
      <c r="I9" s="5">
        <v>44217</v>
      </c>
    </row>
    <row r="10" spans="2:9" x14ac:dyDescent="0.3">
      <c r="B10" s="3">
        <v>6</v>
      </c>
      <c r="C10" s="3" t="s">
        <v>8</v>
      </c>
      <c r="D10" s="3" t="s">
        <v>13</v>
      </c>
      <c r="E10" s="4">
        <v>120700</v>
      </c>
      <c r="F10" s="4">
        <v>480</v>
      </c>
      <c r="G10" s="3" t="s">
        <v>14</v>
      </c>
      <c r="H10" s="3" t="s">
        <v>11</v>
      </c>
      <c r="I10" s="5">
        <v>44219</v>
      </c>
    </row>
    <row r="11" spans="2:9" x14ac:dyDescent="0.3">
      <c r="B11" s="3">
        <v>12</v>
      </c>
      <c r="C11" s="3" t="s">
        <v>8</v>
      </c>
      <c r="D11" s="3" t="s">
        <v>13</v>
      </c>
      <c r="E11" s="4">
        <v>90000</v>
      </c>
      <c r="F11" s="4">
        <v>500</v>
      </c>
      <c r="G11" s="3" t="s">
        <v>16</v>
      </c>
      <c r="H11" s="3" t="s">
        <v>11</v>
      </c>
      <c r="I11" s="5">
        <v>44225</v>
      </c>
    </row>
    <row r="12" spans="2:9" x14ac:dyDescent="0.3">
      <c r="B12" s="3">
        <v>13</v>
      </c>
      <c r="C12" s="3" t="s">
        <v>8</v>
      </c>
      <c r="D12" s="3" t="s">
        <v>13</v>
      </c>
      <c r="E12" s="4">
        <v>51000</v>
      </c>
      <c r="F12" s="4">
        <v>500</v>
      </c>
      <c r="G12" s="3" t="s">
        <v>16</v>
      </c>
      <c r="H12" s="3" t="s">
        <v>11</v>
      </c>
      <c r="I12" s="5">
        <v>44226</v>
      </c>
    </row>
    <row r="13" spans="2:9" x14ac:dyDescent="0.3">
      <c r="B13" s="3">
        <v>14</v>
      </c>
      <c r="C13" s="3" t="s">
        <v>8</v>
      </c>
      <c r="D13" s="3" t="s">
        <v>13</v>
      </c>
      <c r="E13" s="4">
        <v>65000</v>
      </c>
      <c r="F13" s="4">
        <v>530</v>
      </c>
      <c r="G13" s="3" t="s">
        <v>16</v>
      </c>
      <c r="H13" s="3" t="s">
        <v>11</v>
      </c>
      <c r="I13" s="5">
        <v>44227</v>
      </c>
    </row>
    <row r="14" spans="2:9" x14ac:dyDescent="0.3">
      <c r="B14" s="3">
        <v>11</v>
      </c>
      <c r="C14" s="3" t="s">
        <v>8</v>
      </c>
      <c r="D14" s="3" t="s">
        <v>13</v>
      </c>
      <c r="E14" s="4">
        <v>45000</v>
      </c>
      <c r="F14" s="4">
        <v>540</v>
      </c>
      <c r="G14" s="3" t="s">
        <v>16</v>
      </c>
      <c r="H14" s="3" t="s">
        <v>11</v>
      </c>
      <c r="I14" s="5">
        <v>44224</v>
      </c>
    </row>
    <row r="15" spans="2:9" x14ac:dyDescent="0.3">
      <c r="B15" s="3">
        <v>2</v>
      </c>
      <c r="C15" s="3" t="s">
        <v>8</v>
      </c>
      <c r="D15" s="3" t="s">
        <v>13</v>
      </c>
      <c r="E15" s="4">
        <v>130000</v>
      </c>
      <c r="F15" s="4">
        <v>550</v>
      </c>
      <c r="G15" s="3" t="s">
        <v>21</v>
      </c>
      <c r="H15" s="3" t="s">
        <v>11</v>
      </c>
      <c r="I15" s="5">
        <v>44215</v>
      </c>
    </row>
    <row r="16" spans="2:9" x14ac:dyDescent="0.3">
      <c r="B16" s="3">
        <v>17</v>
      </c>
      <c r="C16" s="3" t="s">
        <v>8</v>
      </c>
      <c r="D16" s="3" t="s">
        <v>13</v>
      </c>
      <c r="E16" s="4">
        <v>29300</v>
      </c>
      <c r="F16" s="4">
        <v>550</v>
      </c>
      <c r="G16" s="3" t="s">
        <v>14</v>
      </c>
      <c r="H16" s="3" t="s">
        <v>11</v>
      </c>
      <c r="I16" s="5">
        <v>44230</v>
      </c>
    </row>
    <row r="17" spans="2:9" x14ac:dyDescent="0.3">
      <c r="B17" s="3">
        <v>15</v>
      </c>
      <c r="C17" s="3" t="s">
        <v>8</v>
      </c>
      <c r="D17" s="3" t="s">
        <v>13</v>
      </c>
      <c r="E17" s="4">
        <v>35000</v>
      </c>
      <c r="F17" s="4">
        <v>610</v>
      </c>
      <c r="G17" s="3" t="s">
        <v>21</v>
      </c>
      <c r="H17" s="3" t="s">
        <v>11</v>
      </c>
      <c r="I17" s="5">
        <v>44228</v>
      </c>
    </row>
    <row r="18" spans="2:9" x14ac:dyDescent="0.3">
      <c r="B18" s="3">
        <v>16</v>
      </c>
      <c r="C18" s="3" t="s">
        <v>8</v>
      </c>
      <c r="D18" s="3" t="s">
        <v>13</v>
      </c>
      <c r="E18" s="4">
        <v>30000</v>
      </c>
      <c r="F18" s="4">
        <v>620</v>
      </c>
      <c r="G18" s="3" t="s">
        <v>14</v>
      </c>
      <c r="H18" s="3" t="s">
        <v>11</v>
      </c>
      <c r="I18" s="5">
        <v>44229</v>
      </c>
    </row>
    <row r="19" spans="2:9" x14ac:dyDescent="0.3">
      <c r="B19" s="3">
        <v>10</v>
      </c>
      <c r="C19" s="3" t="s">
        <v>8</v>
      </c>
      <c r="D19" s="3" t="s">
        <v>13</v>
      </c>
      <c r="E19" s="4">
        <v>20000</v>
      </c>
      <c r="F19" s="4">
        <v>650</v>
      </c>
      <c r="G19" s="3" t="s">
        <v>16</v>
      </c>
      <c r="H19" s="3" t="s">
        <v>11</v>
      </c>
      <c r="I19" s="5">
        <v>44223</v>
      </c>
    </row>
    <row r="20" spans="2:9" x14ac:dyDescent="0.3">
      <c r="B20" s="3">
        <v>20</v>
      </c>
      <c r="C20" s="3" t="s">
        <v>22</v>
      </c>
      <c r="D20" s="3" t="s">
        <v>13</v>
      </c>
      <c r="E20" s="4">
        <v>20000</v>
      </c>
      <c r="F20" s="4">
        <v>670</v>
      </c>
      <c r="G20" s="3" t="s">
        <v>23</v>
      </c>
      <c r="H20" s="3" t="s">
        <v>11</v>
      </c>
      <c r="I20" s="5">
        <v>44233</v>
      </c>
    </row>
    <row r="21" spans="2:9" x14ac:dyDescent="0.3">
      <c r="B21" s="3">
        <v>18</v>
      </c>
      <c r="C21" s="3" t="s">
        <v>22</v>
      </c>
      <c r="D21" s="3" t="s">
        <v>13</v>
      </c>
      <c r="E21" s="4">
        <v>39000</v>
      </c>
      <c r="F21" s="4">
        <v>799</v>
      </c>
      <c r="G21" s="3" t="s">
        <v>18</v>
      </c>
      <c r="H21" s="3" t="s">
        <v>11</v>
      </c>
      <c r="I21" s="5">
        <v>44231</v>
      </c>
    </row>
    <row r="22" spans="2:9" x14ac:dyDescent="0.3">
      <c r="B22" s="3">
        <v>29</v>
      </c>
      <c r="C22" s="3" t="s">
        <v>22</v>
      </c>
      <c r="D22" s="3" t="s">
        <v>9</v>
      </c>
      <c r="E22" s="4">
        <v>20000</v>
      </c>
      <c r="F22" s="4">
        <v>800</v>
      </c>
      <c r="G22" s="3" t="s">
        <v>15</v>
      </c>
      <c r="H22" s="3" t="s">
        <v>11</v>
      </c>
      <c r="I22" s="5">
        <v>44242</v>
      </c>
    </row>
    <row r="23" spans="2:9" x14ac:dyDescent="0.3">
      <c r="B23" s="3">
        <v>31</v>
      </c>
      <c r="C23" s="3" t="s">
        <v>22</v>
      </c>
      <c r="D23" s="3" t="s">
        <v>13</v>
      </c>
      <c r="E23" s="4">
        <v>30000</v>
      </c>
      <c r="F23" s="4">
        <v>850</v>
      </c>
      <c r="G23" s="3" t="s">
        <v>16</v>
      </c>
      <c r="H23" s="3" t="s">
        <v>11</v>
      </c>
      <c r="I23" s="5">
        <v>44244</v>
      </c>
    </row>
    <row r="24" spans="2:9" x14ac:dyDescent="0.3">
      <c r="B24" s="3">
        <v>24</v>
      </c>
      <c r="C24" s="3" t="s">
        <v>22</v>
      </c>
      <c r="D24" s="3" t="s">
        <v>9</v>
      </c>
      <c r="E24" s="4">
        <v>30000</v>
      </c>
      <c r="F24" s="4">
        <v>890</v>
      </c>
      <c r="G24" s="3" t="s">
        <v>16</v>
      </c>
      <c r="H24" s="3" t="s">
        <v>11</v>
      </c>
      <c r="I24" s="5">
        <v>44237</v>
      </c>
    </row>
    <row r="25" spans="2:9" x14ac:dyDescent="0.3">
      <c r="B25" s="3">
        <v>19</v>
      </c>
      <c r="C25" s="3" t="s">
        <v>22</v>
      </c>
      <c r="D25" s="3" t="s">
        <v>13</v>
      </c>
      <c r="E25" s="4">
        <v>15000</v>
      </c>
      <c r="F25" s="4">
        <v>898</v>
      </c>
      <c r="G25" s="3" t="s">
        <v>21</v>
      </c>
      <c r="H25" s="3" t="s">
        <v>11</v>
      </c>
      <c r="I25" s="5">
        <v>44232</v>
      </c>
    </row>
    <row r="26" spans="2:9" x14ac:dyDescent="0.3">
      <c r="B26" s="3">
        <v>25</v>
      </c>
      <c r="C26" s="3" t="s">
        <v>22</v>
      </c>
      <c r="D26" s="3" t="s">
        <v>13</v>
      </c>
      <c r="E26" s="4">
        <v>36000</v>
      </c>
      <c r="F26" s="4">
        <v>910</v>
      </c>
      <c r="G26" s="3" t="s">
        <v>16</v>
      </c>
      <c r="H26" s="3" t="s">
        <v>11</v>
      </c>
      <c r="I26" s="5">
        <v>44238</v>
      </c>
    </row>
    <row r="27" spans="2:9" x14ac:dyDescent="0.3">
      <c r="B27" s="3">
        <v>30</v>
      </c>
      <c r="C27" s="3" t="s">
        <v>22</v>
      </c>
      <c r="D27" s="3" t="s">
        <v>13</v>
      </c>
      <c r="E27" s="4">
        <v>30000</v>
      </c>
      <c r="F27" s="4">
        <v>950</v>
      </c>
      <c r="G27" s="3" t="s">
        <v>16</v>
      </c>
      <c r="H27" s="3" t="s">
        <v>11</v>
      </c>
      <c r="I27" s="5">
        <v>44243</v>
      </c>
    </row>
    <row r="28" spans="2:9" x14ac:dyDescent="0.3">
      <c r="B28" s="3">
        <v>32</v>
      </c>
      <c r="C28" s="3" t="s">
        <v>22</v>
      </c>
      <c r="D28" s="3" t="s">
        <v>13</v>
      </c>
      <c r="E28" s="4">
        <v>8000</v>
      </c>
      <c r="F28" s="4">
        <v>990</v>
      </c>
      <c r="G28" s="3" t="s">
        <v>14</v>
      </c>
      <c r="H28" s="3" t="s">
        <v>11</v>
      </c>
      <c r="I28" s="5">
        <v>44245</v>
      </c>
    </row>
    <row r="29" spans="2:9" x14ac:dyDescent="0.3">
      <c r="B29" s="3">
        <v>28</v>
      </c>
      <c r="C29" s="3" t="s">
        <v>22</v>
      </c>
      <c r="D29" s="3" t="s">
        <v>13</v>
      </c>
      <c r="E29" s="4">
        <v>16000</v>
      </c>
      <c r="F29" s="4">
        <v>1000</v>
      </c>
      <c r="G29" s="3" t="s">
        <v>16</v>
      </c>
      <c r="H29" s="3" t="s">
        <v>11</v>
      </c>
      <c r="I29" s="5">
        <v>44241</v>
      </c>
    </row>
    <row r="30" spans="2:9" x14ac:dyDescent="0.3">
      <c r="B30" s="3">
        <v>34</v>
      </c>
      <c r="C30" s="3" t="s">
        <v>22</v>
      </c>
      <c r="D30" s="3" t="s">
        <v>13</v>
      </c>
      <c r="E30" s="4">
        <v>3000</v>
      </c>
      <c r="F30" s="4">
        <v>1010</v>
      </c>
      <c r="G30" s="3" t="s">
        <v>14</v>
      </c>
      <c r="H30" s="3" t="s">
        <v>11</v>
      </c>
      <c r="I30" s="5">
        <v>44247</v>
      </c>
    </row>
    <row r="31" spans="2:9" x14ac:dyDescent="0.3">
      <c r="B31" s="3">
        <v>21</v>
      </c>
      <c r="C31" s="3" t="s">
        <v>22</v>
      </c>
      <c r="D31" s="3" t="s">
        <v>9</v>
      </c>
      <c r="E31" s="4">
        <v>18000</v>
      </c>
      <c r="F31" s="4">
        <v>1030</v>
      </c>
      <c r="G31" s="3" t="s">
        <v>16</v>
      </c>
      <c r="H31" s="3" t="s">
        <v>11</v>
      </c>
      <c r="I31" s="5">
        <v>44234</v>
      </c>
    </row>
    <row r="32" spans="2:9" x14ac:dyDescent="0.3">
      <c r="B32" s="3">
        <v>26</v>
      </c>
      <c r="C32" s="3" t="s">
        <v>22</v>
      </c>
      <c r="D32" s="3" t="s">
        <v>13</v>
      </c>
      <c r="E32" s="4">
        <v>18000</v>
      </c>
      <c r="F32" s="4">
        <v>1030</v>
      </c>
      <c r="G32" s="3" t="s">
        <v>16</v>
      </c>
      <c r="H32" s="3" t="s">
        <v>11</v>
      </c>
      <c r="I32" s="5">
        <v>44239</v>
      </c>
    </row>
    <row r="33" spans="2:9" x14ac:dyDescent="0.3">
      <c r="B33" s="3">
        <v>27</v>
      </c>
      <c r="C33" s="3" t="s">
        <v>22</v>
      </c>
      <c r="D33" s="3" t="s">
        <v>13</v>
      </c>
      <c r="E33" s="4">
        <v>10000</v>
      </c>
      <c r="F33" s="4">
        <v>1090</v>
      </c>
      <c r="G33" s="3" t="s">
        <v>16</v>
      </c>
      <c r="H33" s="3" t="s">
        <v>11</v>
      </c>
      <c r="I33" s="5">
        <v>44240</v>
      </c>
    </row>
    <row r="34" spans="2:9" x14ac:dyDescent="0.3">
      <c r="B34" s="3">
        <v>22</v>
      </c>
      <c r="C34" s="3" t="s">
        <v>22</v>
      </c>
      <c r="D34" s="3" t="s">
        <v>13</v>
      </c>
      <c r="E34" s="4">
        <v>34000</v>
      </c>
      <c r="F34" s="4">
        <v>1100</v>
      </c>
      <c r="G34" s="3" t="s">
        <v>14</v>
      </c>
      <c r="H34" s="3" t="s">
        <v>11</v>
      </c>
      <c r="I34" s="5">
        <v>44235</v>
      </c>
    </row>
    <row r="35" spans="2:9" x14ac:dyDescent="0.3">
      <c r="B35" s="3">
        <v>33</v>
      </c>
      <c r="C35" s="3" t="s">
        <v>22</v>
      </c>
      <c r="D35" s="3" t="s">
        <v>13</v>
      </c>
      <c r="E35" s="4">
        <v>1200</v>
      </c>
      <c r="F35" s="4">
        <v>1130</v>
      </c>
      <c r="G35" s="3" t="s">
        <v>14</v>
      </c>
      <c r="H35" s="3" t="s">
        <v>11</v>
      </c>
      <c r="I35" s="5">
        <v>44246</v>
      </c>
    </row>
    <row r="36" spans="2:9" x14ac:dyDescent="0.3">
      <c r="B36" s="3">
        <v>23</v>
      </c>
      <c r="C36" s="3" t="s">
        <v>22</v>
      </c>
      <c r="D36" s="3" t="s">
        <v>13</v>
      </c>
      <c r="E36" s="4">
        <v>10000</v>
      </c>
      <c r="F36" s="4">
        <v>1200</v>
      </c>
      <c r="G36" s="3" t="s">
        <v>14</v>
      </c>
      <c r="H36" s="3" t="s">
        <v>11</v>
      </c>
      <c r="I36" s="5">
        <v>44236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71"/>
  <sheetViews>
    <sheetView topLeftCell="A10" workbookViewId="0">
      <selection activeCell="J4" sqref="J4:J43"/>
    </sheetView>
  </sheetViews>
  <sheetFormatPr defaultRowHeight="16.5" x14ac:dyDescent="0.3"/>
  <cols>
    <col min="4" max="4" width="14.375" bestFit="1" customWidth="1"/>
    <col min="5" max="8" width="9.875" customWidth="1"/>
    <col min="9" max="9" width="13" customWidth="1"/>
    <col min="11" max="11" width="14.5" bestFit="1" customWidth="1"/>
    <col min="12" max="12" width="12.125" customWidth="1"/>
    <col min="13" max="13" width="11.375" customWidth="1"/>
  </cols>
  <sheetData>
    <row r="1" spans="1:17" x14ac:dyDescent="0.3">
      <c r="E1" s="38" t="s">
        <v>170</v>
      </c>
      <c r="K1" s="38" t="s">
        <v>185</v>
      </c>
    </row>
    <row r="2" spans="1:17" x14ac:dyDescent="0.3">
      <c r="A2" s="6" t="s">
        <v>25</v>
      </c>
      <c r="B2" s="6"/>
      <c r="C2" s="6"/>
      <c r="E2" s="42" t="s">
        <v>171</v>
      </c>
      <c r="F2" s="6"/>
      <c r="G2" s="6"/>
      <c r="H2" s="6"/>
      <c r="I2" s="6"/>
      <c r="K2" s="38" t="s">
        <v>184</v>
      </c>
      <c r="L2" s="7"/>
      <c r="M2" s="7"/>
      <c r="N2" s="6"/>
      <c r="O2" s="6"/>
      <c r="P2" s="6"/>
      <c r="Q2" s="6"/>
    </row>
    <row r="3" spans="1:17" x14ac:dyDescent="0.3">
      <c r="A3" s="6"/>
      <c r="B3" s="8" t="s">
        <v>26</v>
      </c>
      <c r="C3" s="8" t="s">
        <v>27</v>
      </c>
      <c r="D3" s="8" t="s">
        <v>28</v>
      </c>
      <c r="E3" s="8" t="s">
        <v>29</v>
      </c>
      <c r="F3" s="8" t="s">
        <v>30</v>
      </c>
      <c r="G3" s="8" t="s">
        <v>31</v>
      </c>
      <c r="H3" s="8" t="s">
        <v>32</v>
      </c>
      <c r="I3" s="21" t="s">
        <v>33</v>
      </c>
      <c r="J3" s="41" t="s">
        <v>173</v>
      </c>
      <c r="K3" s="7" t="s">
        <v>34</v>
      </c>
      <c r="L3" s="7"/>
      <c r="M3" s="7"/>
      <c r="N3" s="6"/>
      <c r="O3" s="6"/>
      <c r="P3" s="6"/>
      <c r="Q3" s="6"/>
    </row>
    <row r="4" spans="1:17" x14ac:dyDescent="0.3">
      <c r="A4" s="6"/>
      <c r="B4" s="9" t="s">
        <v>35</v>
      </c>
      <c r="C4" s="10" t="s">
        <v>36</v>
      </c>
      <c r="D4" s="10" t="s">
        <v>37</v>
      </c>
      <c r="E4" s="10">
        <v>20</v>
      </c>
      <c r="F4" s="10">
        <v>20</v>
      </c>
      <c r="G4" s="10">
        <v>80</v>
      </c>
      <c r="H4" s="10">
        <v>100</v>
      </c>
      <c r="I4" s="11"/>
      <c r="J4" s="6" t="str">
        <f>IF((E4+F4+G4+H4)&gt;=200,"우수업체","")</f>
        <v>우수업체</v>
      </c>
      <c r="K4" s="8" t="s">
        <v>38</v>
      </c>
      <c r="L4" s="21" t="s">
        <v>31</v>
      </c>
      <c r="M4" s="21" t="s">
        <v>39</v>
      </c>
      <c r="N4" s="6"/>
      <c r="O4" s="6"/>
      <c r="P4" s="6"/>
      <c r="Q4" s="6"/>
    </row>
    <row r="5" spans="1:17" x14ac:dyDescent="0.3">
      <c r="A5" s="6"/>
      <c r="B5" s="9" t="s">
        <v>40</v>
      </c>
      <c r="C5" s="3" t="s">
        <v>41</v>
      </c>
      <c r="D5" s="3" t="s">
        <v>42</v>
      </c>
      <c r="E5" s="10">
        <v>20</v>
      </c>
      <c r="F5" s="10">
        <v>20</v>
      </c>
      <c r="G5" s="10">
        <v>97</v>
      </c>
      <c r="H5" s="10">
        <v>100</v>
      </c>
      <c r="I5" s="11"/>
      <c r="J5" s="6" t="str">
        <f t="shared" ref="J5:J43" si="0">IF((E5+F5+G5+H5)&gt;=200,"우수업체","")</f>
        <v>우수업체</v>
      </c>
      <c r="K5" s="10" t="s">
        <v>43</v>
      </c>
      <c r="L5" s="12"/>
      <c r="M5" s="12"/>
      <c r="N5" s="6"/>
      <c r="O5" s="6"/>
      <c r="P5" s="6"/>
      <c r="Q5" s="6"/>
    </row>
    <row r="6" spans="1:17" x14ac:dyDescent="0.3">
      <c r="A6" s="6"/>
      <c r="B6" s="9" t="s">
        <v>44</v>
      </c>
      <c r="C6" s="3" t="s">
        <v>41</v>
      </c>
      <c r="D6" s="3" t="s">
        <v>45</v>
      </c>
      <c r="E6" s="10">
        <v>20</v>
      </c>
      <c r="F6" s="10">
        <v>20</v>
      </c>
      <c r="G6" s="10">
        <v>98</v>
      </c>
      <c r="H6" s="10">
        <v>97</v>
      </c>
      <c r="I6" s="11"/>
      <c r="J6" s="6" t="str">
        <f t="shared" si="0"/>
        <v>우수업체</v>
      </c>
      <c r="K6" s="11" t="s">
        <v>46</v>
      </c>
      <c r="L6" s="12"/>
      <c r="M6" s="12"/>
      <c r="N6" s="6"/>
      <c r="O6" s="6"/>
      <c r="P6" s="6"/>
      <c r="Q6" s="6"/>
    </row>
    <row r="7" spans="1:17" x14ac:dyDescent="0.3">
      <c r="A7" s="6"/>
      <c r="B7" s="9" t="s">
        <v>47</v>
      </c>
      <c r="C7" s="3" t="s">
        <v>48</v>
      </c>
      <c r="D7" s="3" t="s">
        <v>42</v>
      </c>
      <c r="E7" s="10">
        <v>20</v>
      </c>
      <c r="F7" s="10">
        <v>20</v>
      </c>
      <c r="G7" s="10">
        <v>100</v>
      </c>
      <c r="H7" s="10">
        <v>94</v>
      </c>
      <c r="I7" s="11"/>
      <c r="J7" s="6" t="str">
        <f t="shared" si="0"/>
        <v>우수업체</v>
      </c>
      <c r="K7" s="11" t="s">
        <v>49</v>
      </c>
      <c r="L7" s="12"/>
      <c r="M7" s="12"/>
      <c r="N7" s="6"/>
      <c r="O7" s="6"/>
      <c r="P7" s="6"/>
      <c r="Q7" s="6"/>
    </row>
    <row r="8" spans="1:17" x14ac:dyDescent="0.3">
      <c r="A8" s="6"/>
      <c r="B8" s="9" t="s">
        <v>50</v>
      </c>
      <c r="C8" s="3" t="s">
        <v>51</v>
      </c>
      <c r="D8" s="3" t="s">
        <v>45</v>
      </c>
      <c r="E8" s="10">
        <v>19</v>
      </c>
      <c r="F8" s="10">
        <v>20</v>
      </c>
      <c r="G8" s="10">
        <v>99</v>
      </c>
      <c r="H8" s="10">
        <v>91</v>
      </c>
      <c r="I8" s="11"/>
      <c r="J8" s="6" t="str">
        <f t="shared" si="0"/>
        <v>우수업체</v>
      </c>
      <c r="K8" s="7"/>
      <c r="L8" s="7"/>
      <c r="M8" s="7"/>
      <c r="N8" s="6"/>
      <c r="O8" s="6"/>
      <c r="P8" s="6"/>
      <c r="Q8" s="6"/>
    </row>
    <row r="9" spans="1:17" x14ac:dyDescent="0.3">
      <c r="A9" s="6"/>
      <c r="B9" s="9" t="s">
        <v>52</v>
      </c>
      <c r="C9" s="3" t="s">
        <v>53</v>
      </c>
      <c r="D9" s="3" t="s">
        <v>37</v>
      </c>
      <c r="E9" s="10">
        <v>19</v>
      </c>
      <c r="F9" s="10">
        <v>20</v>
      </c>
      <c r="G9" s="10">
        <v>55</v>
      </c>
      <c r="H9" s="10">
        <v>86</v>
      </c>
      <c r="I9" s="11"/>
      <c r="J9" s="6" t="str">
        <f t="shared" si="0"/>
        <v/>
      </c>
      <c r="K9" s="7" t="s">
        <v>54</v>
      </c>
      <c r="L9" s="7"/>
      <c r="M9" s="7"/>
      <c r="N9" s="6"/>
      <c r="O9" s="6"/>
      <c r="P9" s="6"/>
      <c r="Q9" s="6"/>
    </row>
    <row r="10" spans="1:17" x14ac:dyDescent="0.3">
      <c r="A10" s="6"/>
      <c r="B10" s="9" t="s">
        <v>55</v>
      </c>
      <c r="C10" s="3" t="s">
        <v>56</v>
      </c>
      <c r="D10" s="3" t="s">
        <v>45</v>
      </c>
      <c r="E10" s="10">
        <v>19</v>
      </c>
      <c r="F10" s="10">
        <v>17</v>
      </c>
      <c r="G10" s="10">
        <v>58</v>
      </c>
      <c r="H10" s="10">
        <v>84</v>
      </c>
      <c r="I10" s="11"/>
      <c r="J10" s="6" t="str">
        <f t="shared" si="0"/>
        <v/>
      </c>
      <c r="K10" s="1" t="s">
        <v>57</v>
      </c>
      <c r="L10" s="22" t="s">
        <v>58</v>
      </c>
      <c r="M10" s="13"/>
      <c r="N10" s="6"/>
      <c r="O10" s="6"/>
      <c r="P10" s="6"/>
      <c r="Q10" s="6"/>
    </row>
    <row r="11" spans="1:17" x14ac:dyDescent="0.3">
      <c r="A11" s="6"/>
      <c r="B11" s="9" t="s">
        <v>59</v>
      </c>
      <c r="C11" s="3" t="s">
        <v>60</v>
      </c>
      <c r="D11" s="3" t="s">
        <v>45</v>
      </c>
      <c r="E11" s="10">
        <v>20</v>
      </c>
      <c r="F11" s="10">
        <v>20</v>
      </c>
      <c r="G11" s="10">
        <v>95</v>
      </c>
      <c r="H11" s="10">
        <v>76</v>
      </c>
      <c r="I11" s="11"/>
      <c r="J11" s="6" t="str">
        <f t="shared" si="0"/>
        <v>우수업체</v>
      </c>
      <c r="K11" s="14">
        <v>15</v>
      </c>
      <c r="L11" s="3"/>
      <c r="M11" s="13"/>
      <c r="N11" s="6"/>
      <c r="O11" s="6"/>
      <c r="P11" s="6"/>
      <c r="Q11" s="6"/>
    </row>
    <row r="12" spans="1:17" x14ac:dyDescent="0.3">
      <c r="A12" s="6"/>
      <c r="B12" s="9" t="s">
        <v>61</v>
      </c>
      <c r="C12" s="3" t="s">
        <v>53</v>
      </c>
      <c r="D12" s="3" t="s">
        <v>42</v>
      </c>
      <c r="E12" s="10">
        <v>19</v>
      </c>
      <c r="F12" s="10">
        <v>20</v>
      </c>
      <c r="G12" s="10">
        <v>78</v>
      </c>
      <c r="H12" s="10">
        <v>76</v>
      </c>
      <c r="I12" s="11"/>
      <c r="J12" s="6" t="str">
        <f t="shared" si="0"/>
        <v/>
      </c>
      <c r="K12" s="3">
        <v>16</v>
      </c>
      <c r="L12" s="3"/>
      <c r="M12" s="7"/>
      <c r="N12" s="6"/>
      <c r="O12" s="6"/>
      <c r="P12" s="6"/>
      <c r="Q12" s="6"/>
    </row>
    <row r="13" spans="1:17" x14ac:dyDescent="0.3">
      <c r="A13" s="6"/>
      <c r="B13" s="9" t="s">
        <v>62</v>
      </c>
      <c r="C13" s="3" t="s">
        <v>60</v>
      </c>
      <c r="D13" s="3" t="s">
        <v>45</v>
      </c>
      <c r="E13" s="10">
        <v>20</v>
      </c>
      <c r="F13" s="10">
        <v>20</v>
      </c>
      <c r="G13" s="10">
        <v>74</v>
      </c>
      <c r="H13" s="10">
        <v>74</v>
      </c>
      <c r="I13" s="11"/>
      <c r="J13" s="6" t="str">
        <f t="shared" si="0"/>
        <v/>
      </c>
      <c r="K13" s="3">
        <v>17</v>
      </c>
      <c r="L13" s="3"/>
      <c r="M13" s="7"/>
      <c r="N13" s="6"/>
      <c r="O13" s="6"/>
      <c r="P13" s="6"/>
      <c r="Q13" s="6"/>
    </row>
    <row r="14" spans="1:17" x14ac:dyDescent="0.3">
      <c r="A14" s="6"/>
      <c r="B14" s="9" t="s">
        <v>63</v>
      </c>
      <c r="C14" s="3" t="s">
        <v>60</v>
      </c>
      <c r="D14" s="3" t="s">
        <v>37</v>
      </c>
      <c r="E14" s="10">
        <v>20</v>
      </c>
      <c r="F14" s="10">
        <v>20</v>
      </c>
      <c r="G14" s="10">
        <v>90</v>
      </c>
      <c r="H14" s="10">
        <v>73</v>
      </c>
      <c r="I14" s="11"/>
      <c r="J14" s="6" t="str">
        <f t="shared" si="0"/>
        <v>우수업체</v>
      </c>
      <c r="K14" s="3">
        <v>18</v>
      </c>
      <c r="L14" s="3"/>
      <c r="M14" s="7"/>
      <c r="N14" s="6"/>
      <c r="O14" s="6"/>
      <c r="P14" s="6"/>
      <c r="Q14" s="6"/>
    </row>
    <row r="15" spans="1:17" x14ac:dyDescent="0.3">
      <c r="A15" s="6"/>
      <c r="B15" s="9" t="s">
        <v>64</v>
      </c>
      <c r="C15" s="3" t="s">
        <v>53</v>
      </c>
      <c r="D15" s="3" t="s">
        <v>42</v>
      </c>
      <c r="E15" s="10">
        <v>20</v>
      </c>
      <c r="F15" s="10">
        <v>20</v>
      </c>
      <c r="G15" s="10">
        <v>98</v>
      </c>
      <c r="H15" s="10">
        <v>72</v>
      </c>
      <c r="I15" s="11"/>
      <c r="J15" s="6" t="str">
        <f t="shared" si="0"/>
        <v>우수업체</v>
      </c>
      <c r="K15" s="3">
        <v>19</v>
      </c>
      <c r="L15" s="3"/>
      <c r="M15" s="7"/>
      <c r="N15" s="6"/>
      <c r="O15" s="6"/>
      <c r="P15" s="6"/>
      <c r="Q15" s="6"/>
    </row>
    <row r="16" spans="1:17" x14ac:dyDescent="0.3">
      <c r="A16" s="6"/>
      <c r="B16" s="9" t="s">
        <v>65</v>
      </c>
      <c r="C16" s="3" t="s">
        <v>66</v>
      </c>
      <c r="D16" s="3" t="s">
        <v>37</v>
      </c>
      <c r="E16" s="10">
        <v>20</v>
      </c>
      <c r="F16" s="10">
        <v>20</v>
      </c>
      <c r="G16" s="10">
        <v>75</v>
      </c>
      <c r="H16" s="10">
        <v>70</v>
      </c>
      <c r="I16" s="11"/>
      <c r="J16" s="6" t="str">
        <f t="shared" si="0"/>
        <v/>
      </c>
      <c r="K16" s="3">
        <v>20</v>
      </c>
      <c r="L16" s="3"/>
      <c r="M16" s="7"/>
      <c r="N16" s="6"/>
      <c r="O16" s="6"/>
      <c r="P16" s="6"/>
      <c r="Q16" s="6"/>
    </row>
    <row r="17" spans="1:17" x14ac:dyDescent="0.3">
      <c r="A17" s="6"/>
      <c r="B17" s="9" t="s">
        <v>67</v>
      </c>
      <c r="C17" s="3" t="s">
        <v>68</v>
      </c>
      <c r="D17" s="3" t="s">
        <v>45</v>
      </c>
      <c r="E17" s="10">
        <v>19</v>
      </c>
      <c r="F17" s="10">
        <v>20</v>
      </c>
      <c r="G17" s="10">
        <v>82</v>
      </c>
      <c r="H17" s="10">
        <v>64</v>
      </c>
      <c r="I17" s="11"/>
      <c r="J17" s="6" t="str">
        <f t="shared" si="0"/>
        <v/>
      </c>
      <c r="K17" s="7"/>
      <c r="L17" s="7"/>
      <c r="M17" s="7"/>
      <c r="N17" s="6"/>
      <c r="O17" s="6"/>
      <c r="P17" s="6"/>
      <c r="Q17" s="6"/>
    </row>
    <row r="18" spans="1:17" x14ac:dyDescent="0.3">
      <c r="A18" s="6"/>
      <c r="B18" s="9" t="s">
        <v>69</v>
      </c>
      <c r="C18" s="3" t="s">
        <v>36</v>
      </c>
      <c r="D18" s="3" t="s">
        <v>37</v>
      </c>
      <c r="E18" s="10">
        <v>20</v>
      </c>
      <c r="F18" s="10">
        <v>19</v>
      </c>
      <c r="G18" s="10">
        <v>48</v>
      </c>
      <c r="H18" s="10">
        <v>62</v>
      </c>
      <c r="I18" s="11"/>
      <c r="J18" s="6" t="str">
        <f t="shared" si="0"/>
        <v/>
      </c>
      <c r="K18" s="6" t="s">
        <v>70</v>
      </c>
      <c r="L18" s="6"/>
      <c r="M18" s="7"/>
      <c r="N18" s="6"/>
      <c r="O18" s="6"/>
      <c r="P18" s="6"/>
      <c r="Q18" s="6"/>
    </row>
    <row r="19" spans="1:17" x14ac:dyDescent="0.3">
      <c r="A19" s="6"/>
      <c r="B19" s="9" t="s">
        <v>71</v>
      </c>
      <c r="C19" s="10" t="s">
        <v>60</v>
      </c>
      <c r="D19" s="3" t="s">
        <v>37</v>
      </c>
      <c r="E19" s="10">
        <v>20</v>
      </c>
      <c r="F19" s="10">
        <v>20</v>
      </c>
      <c r="G19" s="10">
        <v>65</v>
      </c>
      <c r="H19" s="10">
        <v>62</v>
      </c>
      <c r="I19" s="11"/>
      <c r="J19" s="6" t="str">
        <f t="shared" si="0"/>
        <v/>
      </c>
      <c r="K19" s="8" t="s">
        <v>28</v>
      </c>
      <c r="L19" s="22" t="s">
        <v>26</v>
      </c>
      <c r="M19" s="7"/>
      <c r="N19" s="6"/>
      <c r="O19" s="6"/>
      <c r="P19" s="6"/>
      <c r="Q19" s="6"/>
    </row>
    <row r="20" spans="1:17" x14ac:dyDescent="0.3">
      <c r="A20" s="6"/>
      <c r="B20" s="9" t="s">
        <v>72</v>
      </c>
      <c r="C20" s="3" t="s">
        <v>73</v>
      </c>
      <c r="D20" s="3" t="s">
        <v>42</v>
      </c>
      <c r="E20" s="10">
        <v>20</v>
      </c>
      <c r="F20" s="10">
        <v>20</v>
      </c>
      <c r="G20" s="10">
        <v>66</v>
      </c>
      <c r="H20" s="10">
        <v>60</v>
      </c>
      <c r="I20" s="11"/>
      <c r="J20" s="6" t="str">
        <f t="shared" si="0"/>
        <v/>
      </c>
      <c r="K20" s="1" t="s">
        <v>74</v>
      </c>
      <c r="L20" s="1"/>
      <c r="M20" s="7"/>
      <c r="N20" s="6"/>
      <c r="O20" s="6"/>
      <c r="P20" s="6"/>
      <c r="Q20" s="6"/>
    </row>
    <row r="21" spans="1:17" x14ac:dyDescent="0.3">
      <c r="A21" s="6"/>
      <c r="B21" s="9" t="s">
        <v>75</v>
      </c>
      <c r="C21" s="3" t="s">
        <v>51</v>
      </c>
      <c r="D21" s="3" t="s">
        <v>45</v>
      </c>
      <c r="E21" s="10">
        <v>19</v>
      </c>
      <c r="F21" s="10">
        <v>19</v>
      </c>
      <c r="G21" s="10">
        <v>77</v>
      </c>
      <c r="H21" s="10">
        <v>56</v>
      </c>
      <c r="I21" s="11"/>
      <c r="J21" s="6" t="str">
        <f t="shared" si="0"/>
        <v/>
      </c>
      <c r="K21" s="7"/>
      <c r="L21" s="7"/>
      <c r="M21" s="7"/>
      <c r="N21" s="6"/>
      <c r="O21" s="6"/>
      <c r="P21" s="6"/>
      <c r="Q21" s="6"/>
    </row>
    <row r="22" spans="1:17" x14ac:dyDescent="0.3">
      <c r="A22" s="6"/>
      <c r="B22" s="9" t="s">
        <v>76</v>
      </c>
      <c r="C22" s="3" t="s">
        <v>56</v>
      </c>
      <c r="D22" s="3" t="s">
        <v>45</v>
      </c>
      <c r="E22" s="10">
        <v>20</v>
      </c>
      <c r="F22" s="10">
        <v>20</v>
      </c>
      <c r="G22" s="10">
        <v>73</v>
      </c>
      <c r="H22" s="10">
        <v>50</v>
      </c>
      <c r="I22" s="11"/>
      <c r="J22" s="6" t="str">
        <f t="shared" si="0"/>
        <v/>
      </c>
      <c r="K22" s="40" t="s">
        <v>174</v>
      </c>
      <c r="L22" s="15"/>
      <c r="M22" s="6"/>
      <c r="N22" s="6"/>
      <c r="O22" s="6"/>
      <c r="P22" s="6"/>
      <c r="Q22" s="6"/>
    </row>
    <row r="23" spans="1:17" x14ac:dyDescent="0.3">
      <c r="A23" s="6"/>
      <c r="B23" s="9" t="s">
        <v>77</v>
      </c>
      <c r="C23" s="3" t="s">
        <v>73</v>
      </c>
      <c r="D23" s="3" t="s">
        <v>42</v>
      </c>
      <c r="E23" s="10">
        <v>20</v>
      </c>
      <c r="F23" s="10">
        <v>18</v>
      </c>
      <c r="G23" s="10">
        <v>88</v>
      </c>
      <c r="H23" s="10">
        <v>50</v>
      </c>
      <c r="I23" s="11"/>
      <c r="J23" s="6" t="str">
        <f t="shared" si="0"/>
        <v/>
      </c>
      <c r="K23" s="40" t="s">
        <v>172</v>
      </c>
      <c r="L23" s="6"/>
      <c r="M23" s="6"/>
      <c r="N23" s="6"/>
      <c r="O23" s="6"/>
      <c r="P23" s="6"/>
      <c r="Q23" s="6"/>
    </row>
    <row r="24" spans="1:17" x14ac:dyDescent="0.3">
      <c r="A24" s="6"/>
      <c r="B24" s="9" t="s">
        <v>78</v>
      </c>
      <c r="C24" s="3" t="s">
        <v>36</v>
      </c>
      <c r="D24" s="3" t="s">
        <v>42</v>
      </c>
      <c r="E24" s="10">
        <v>20</v>
      </c>
      <c r="F24" s="10">
        <v>20</v>
      </c>
      <c r="G24" s="10">
        <v>84</v>
      </c>
      <c r="H24" s="10">
        <v>48</v>
      </c>
      <c r="I24" s="11"/>
      <c r="J24" s="6" t="str">
        <f t="shared" si="0"/>
        <v/>
      </c>
      <c r="K24" s="7"/>
      <c r="L24" s="7"/>
      <c r="M24" s="6"/>
      <c r="N24" s="6"/>
      <c r="O24" s="6"/>
      <c r="P24" s="6"/>
      <c r="Q24" s="6"/>
    </row>
    <row r="25" spans="1:17" x14ac:dyDescent="0.3">
      <c r="A25" s="6"/>
      <c r="B25" s="9" t="s">
        <v>79</v>
      </c>
      <c r="C25" s="3" t="s">
        <v>66</v>
      </c>
      <c r="D25" s="3" t="s">
        <v>45</v>
      </c>
      <c r="E25" s="10">
        <v>18</v>
      </c>
      <c r="F25" s="10">
        <v>10</v>
      </c>
      <c r="G25" s="10">
        <v>55</v>
      </c>
      <c r="H25" s="10">
        <v>48</v>
      </c>
      <c r="I25" s="11"/>
      <c r="J25" s="6" t="str">
        <f t="shared" si="0"/>
        <v/>
      </c>
      <c r="K25" s="7"/>
      <c r="L25" s="7"/>
      <c r="M25" s="6"/>
      <c r="N25" s="6"/>
      <c r="O25" s="6"/>
      <c r="P25" s="6"/>
      <c r="Q25" s="6"/>
    </row>
    <row r="26" spans="1:17" x14ac:dyDescent="0.3">
      <c r="A26" s="6"/>
      <c r="B26" s="9" t="s">
        <v>80</v>
      </c>
      <c r="C26" s="3" t="s">
        <v>66</v>
      </c>
      <c r="D26" s="3" t="s">
        <v>37</v>
      </c>
      <c r="E26" s="10">
        <v>19</v>
      </c>
      <c r="F26" s="10">
        <v>20</v>
      </c>
      <c r="G26" s="10">
        <v>93</v>
      </c>
      <c r="H26" s="10">
        <v>46</v>
      </c>
      <c r="I26" s="11"/>
      <c r="J26" s="6" t="str">
        <f t="shared" si="0"/>
        <v/>
      </c>
      <c r="K26" s="7"/>
      <c r="L26" s="7"/>
      <c r="M26" s="6"/>
      <c r="N26" s="6"/>
      <c r="O26" s="6"/>
      <c r="P26" s="6"/>
      <c r="Q26" s="6"/>
    </row>
    <row r="27" spans="1:17" x14ac:dyDescent="0.3">
      <c r="A27" s="6"/>
      <c r="B27" s="9" t="s">
        <v>81</v>
      </c>
      <c r="C27" s="10" t="s">
        <v>68</v>
      </c>
      <c r="D27" s="3" t="s">
        <v>45</v>
      </c>
      <c r="E27" s="10">
        <v>20</v>
      </c>
      <c r="F27" s="10">
        <v>20</v>
      </c>
      <c r="G27" s="10">
        <v>41</v>
      </c>
      <c r="H27" s="10">
        <v>44</v>
      </c>
      <c r="I27" s="11"/>
      <c r="J27" s="6" t="str">
        <f t="shared" si="0"/>
        <v/>
      </c>
      <c r="K27" s="7"/>
      <c r="L27" s="7"/>
      <c r="M27" s="7"/>
      <c r="N27" s="6"/>
      <c r="O27" s="6"/>
      <c r="P27" s="6"/>
      <c r="Q27" s="6"/>
    </row>
    <row r="28" spans="1:17" x14ac:dyDescent="0.3">
      <c r="A28" s="6"/>
      <c r="B28" s="9" t="s">
        <v>82</v>
      </c>
      <c r="C28" s="3" t="s">
        <v>68</v>
      </c>
      <c r="D28" s="3" t="s">
        <v>45</v>
      </c>
      <c r="E28" s="10">
        <v>16</v>
      </c>
      <c r="F28" s="10">
        <v>19</v>
      </c>
      <c r="G28" s="10">
        <v>70</v>
      </c>
      <c r="H28" s="10">
        <v>42</v>
      </c>
      <c r="I28" s="11"/>
      <c r="J28" s="6" t="str">
        <f t="shared" si="0"/>
        <v/>
      </c>
      <c r="K28" s="7"/>
      <c r="L28" s="7"/>
      <c r="M28" s="7"/>
      <c r="N28" s="6"/>
      <c r="O28" s="6"/>
      <c r="P28" s="6"/>
      <c r="Q28" s="6"/>
    </row>
    <row r="29" spans="1:17" x14ac:dyDescent="0.3">
      <c r="A29" s="6"/>
      <c r="B29" s="9" t="s">
        <v>83</v>
      </c>
      <c r="C29" s="3" t="s">
        <v>36</v>
      </c>
      <c r="D29" s="3" t="s">
        <v>42</v>
      </c>
      <c r="E29" s="10">
        <v>19</v>
      </c>
      <c r="F29" s="10">
        <v>20</v>
      </c>
      <c r="G29" s="10">
        <v>56</v>
      </c>
      <c r="H29" s="10">
        <v>38</v>
      </c>
      <c r="I29" s="11"/>
      <c r="J29" s="6" t="str">
        <f t="shared" si="0"/>
        <v/>
      </c>
      <c r="K29" s="7"/>
      <c r="L29" s="7"/>
      <c r="M29" s="7"/>
      <c r="N29" s="6"/>
      <c r="O29" s="6"/>
      <c r="P29" s="6"/>
      <c r="Q29" s="6"/>
    </row>
    <row r="30" spans="1:17" x14ac:dyDescent="0.3">
      <c r="A30" s="6"/>
      <c r="B30" s="9" t="s">
        <v>84</v>
      </c>
      <c r="C30" s="10" t="s">
        <v>51</v>
      </c>
      <c r="D30" s="3" t="s">
        <v>42</v>
      </c>
      <c r="E30" s="10">
        <v>20</v>
      </c>
      <c r="F30" s="10">
        <v>20</v>
      </c>
      <c r="G30" s="10">
        <v>88</v>
      </c>
      <c r="H30" s="10">
        <v>38</v>
      </c>
      <c r="I30" s="11"/>
      <c r="J30" s="6" t="str">
        <f t="shared" si="0"/>
        <v/>
      </c>
      <c r="K30" s="7"/>
      <c r="L30" s="7"/>
      <c r="M30" s="7"/>
      <c r="N30" s="6"/>
      <c r="O30" s="6"/>
      <c r="P30" s="6"/>
      <c r="Q30" s="6"/>
    </row>
    <row r="31" spans="1:17" x14ac:dyDescent="0.3">
      <c r="A31" s="6"/>
      <c r="B31" s="9" t="s">
        <v>85</v>
      </c>
      <c r="C31" s="3" t="s">
        <v>68</v>
      </c>
      <c r="D31" s="3" t="s">
        <v>45</v>
      </c>
      <c r="E31" s="10">
        <v>17</v>
      </c>
      <c r="F31" s="10">
        <v>0</v>
      </c>
      <c r="G31" s="10">
        <v>60</v>
      </c>
      <c r="H31" s="10">
        <v>38</v>
      </c>
      <c r="I31" s="11"/>
      <c r="J31" s="6" t="str">
        <f t="shared" si="0"/>
        <v/>
      </c>
      <c r="K31" s="7"/>
      <c r="L31" s="7"/>
      <c r="M31" s="7"/>
      <c r="N31" s="6"/>
      <c r="O31" s="6"/>
      <c r="P31" s="6"/>
      <c r="Q31" s="6"/>
    </row>
    <row r="32" spans="1:17" x14ac:dyDescent="0.3">
      <c r="A32" s="6"/>
      <c r="B32" s="9" t="s">
        <v>86</v>
      </c>
      <c r="C32" s="3" t="s">
        <v>51</v>
      </c>
      <c r="D32" s="3" t="s">
        <v>37</v>
      </c>
      <c r="E32" s="10">
        <v>20</v>
      </c>
      <c r="F32" s="10">
        <v>19</v>
      </c>
      <c r="G32" s="10">
        <v>69</v>
      </c>
      <c r="H32" s="10">
        <v>36</v>
      </c>
      <c r="I32" s="11"/>
      <c r="J32" s="6" t="str">
        <f t="shared" si="0"/>
        <v/>
      </c>
      <c r="K32" s="7"/>
      <c r="L32" s="7"/>
      <c r="M32" s="7"/>
      <c r="N32" s="6"/>
      <c r="O32" s="6"/>
      <c r="P32" s="6"/>
      <c r="Q32" s="6"/>
    </row>
    <row r="33" spans="1:17" x14ac:dyDescent="0.3">
      <c r="A33" s="6"/>
      <c r="B33" s="9" t="s">
        <v>87</v>
      </c>
      <c r="C33" s="3" t="s">
        <v>56</v>
      </c>
      <c r="D33" s="3" t="s">
        <v>42</v>
      </c>
      <c r="E33" s="10">
        <v>19</v>
      </c>
      <c r="F33" s="10">
        <v>19</v>
      </c>
      <c r="G33" s="10">
        <v>63</v>
      </c>
      <c r="H33" s="10">
        <v>32</v>
      </c>
      <c r="I33" s="11"/>
      <c r="J33" s="6" t="str">
        <f t="shared" si="0"/>
        <v/>
      </c>
      <c r="K33" s="7"/>
      <c r="L33" s="7"/>
      <c r="M33" s="7"/>
      <c r="N33" s="6"/>
      <c r="O33" s="6"/>
      <c r="P33" s="6"/>
      <c r="Q33" s="6"/>
    </row>
    <row r="34" spans="1:17" x14ac:dyDescent="0.3">
      <c r="A34" s="6"/>
      <c r="B34" s="9" t="s">
        <v>88</v>
      </c>
      <c r="C34" s="3" t="s">
        <v>41</v>
      </c>
      <c r="D34" s="3" t="s">
        <v>45</v>
      </c>
      <c r="E34" s="10">
        <v>19</v>
      </c>
      <c r="F34" s="10">
        <v>20</v>
      </c>
      <c r="G34" s="10">
        <v>50</v>
      </c>
      <c r="H34" s="10">
        <v>30</v>
      </c>
      <c r="I34" s="11"/>
      <c r="J34" s="6" t="str">
        <f t="shared" si="0"/>
        <v/>
      </c>
      <c r="K34" s="7"/>
      <c r="L34" s="7"/>
      <c r="M34" s="7"/>
      <c r="N34" s="6"/>
      <c r="O34" s="6"/>
      <c r="P34" s="6"/>
      <c r="Q34" s="6"/>
    </row>
    <row r="35" spans="1:17" x14ac:dyDescent="0.3">
      <c r="A35" s="6"/>
      <c r="B35" s="9" t="s">
        <v>89</v>
      </c>
      <c r="C35" s="3" t="s">
        <v>73</v>
      </c>
      <c r="D35" s="3" t="s">
        <v>37</v>
      </c>
      <c r="E35" s="10">
        <v>19</v>
      </c>
      <c r="F35" s="10">
        <v>20</v>
      </c>
      <c r="G35" s="10">
        <v>60</v>
      </c>
      <c r="H35" s="10">
        <v>30</v>
      </c>
      <c r="I35" s="11"/>
      <c r="J35" s="6" t="str">
        <f t="shared" si="0"/>
        <v/>
      </c>
      <c r="K35" s="7"/>
      <c r="L35" s="7"/>
      <c r="M35" s="7"/>
      <c r="N35" s="6"/>
      <c r="O35" s="6"/>
      <c r="P35" s="6"/>
      <c r="Q35" s="6"/>
    </row>
    <row r="36" spans="1:17" x14ac:dyDescent="0.3">
      <c r="A36" s="6"/>
      <c r="B36" s="9" t="s">
        <v>90</v>
      </c>
      <c r="C36" s="3" t="s">
        <v>36</v>
      </c>
      <c r="D36" s="3" t="s">
        <v>42</v>
      </c>
      <c r="E36" s="10">
        <v>19</v>
      </c>
      <c r="F36" s="10">
        <v>20</v>
      </c>
      <c r="G36" s="10">
        <v>75</v>
      </c>
      <c r="H36" s="10">
        <v>28</v>
      </c>
      <c r="I36" s="11"/>
      <c r="J36" s="6" t="str">
        <f t="shared" si="0"/>
        <v/>
      </c>
      <c r="K36" s="7"/>
      <c r="L36" s="7"/>
      <c r="M36" s="7"/>
      <c r="N36" s="6"/>
      <c r="O36" s="6"/>
      <c r="P36" s="6"/>
      <c r="Q36" s="6"/>
    </row>
    <row r="37" spans="1:17" x14ac:dyDescent="0.3">
      <c r="A37" s="6"/>
      <c r="B37" s="9" t="s">
        <v>91</v>
      </c>
      <c r="C37" s="3" t="s">
        <v>56</v>
      </c>
      <c r="D37" s="3" t="s">
        <v>37</v>
      </c>
      <c r="E37" s="10">
        <v>15</v>
      </c>
      <c r="F37" s="10">
        <v>9</v>
      </c>
      <c r="G37" s="10">
        <v>35</v>
      </c>
      <c r="H37" s="10">
        <v>26</v>
      </c>
      <c r="I37" s="11"/>
      <c r="J37" s="6" t="str">
        <f t="shared" si="0"/>
        <v/>
      </c>
      <c r="K37" s="7"/>
      <c r="L37" s="7"/>
      <c r="M37" s="7"/>
      <c r="N37" s="6"/>
      <c r="O37" s="6"/>
      <c r="P37" s="6"/>
      <c r="Q37" s="6"/>
    </row>
    <row r="38" spans="1:17" x14ac:dyDescent="0.3">
      <c r="A38" s="6"/>
      <c r="B38" s="9" t="s">
        <v>92</v>
      </c>
      <c r="C38" s="3" t="s">
        <v>36</v>
      </c>
      <c r="D38" s="3" t="s">
        <v>37</v>
      </c>
      <c r="E38" s="10">
        <v>14</v>
      </c>
      <c r="F38" s="10">
        <v>11</v>
      </c>
      <c r="G38" s="10">
        <v>60</v>
      </c>
      <c r="H38" s="10">
        <v>10</v>
      </c>
      <c r="I38" s="11"/>
      <c r="J38" s="6" t="str">
        <f t="shared" si="0"/>
        <v/>
      </c>
      <c r="K38" s="7"/>
      <c r="L38" s="7"/>
      <c r="M38" s="7"/>
      <c r="N38" s="6"/>
      <c r="O38" s="6"/>
      <c r="P38" s="6"/>
      <c r="Q38" s="6"/>
    </row>
    <row r="39" spans="1:17" x14ac:dyDescent="0.3">
      <c r="A39" s="6"/>
      <c r="B39" s="9" t="s">
        <v>93</v>
      </c>
      <c r="C39" s="3" t="s">
        <v>48</v>
      </c>
      <c r="D39" s="3" t="s">
        <v>45</v>
      </c>
      <c r="E39" s="10">
        <v>15</v>
      </c>
      <c r="F39" s="10">
        <v>8</v>
      </c>
      <c r="G39" s="10">
        <v>71</v>
      </c>
      <c r="H39" s="10">
        <v>0</v>
      </c>
      <c r="I39" s="11"/>
      <c r="J39" s="6" t="str">
        <f t="shared" si="0"/>
        <v/>
      </c>
      <c r="K39" s="7"/>
      <c r="L39" s="7"/>
      <c r="M39" s="7"/>
      <c r="N39" s="6"/>
      <c r="O39" s="6"/>
      <c r="P39" s="6"/>
      <c r="Q39" s="6"/>
    </row>
    <row r="40" spans="1:17" x14ac:dyDescent="0.3">
      <c r="A40" s="6"/>
      <c r="B40" s="9" t="s">
        <v>94</v>
      </c>
      <c r="C40" s="10" t="s">
        <v>66</v>
      </c>
      <c r="D40" s="3" t="s">
        <v>37</v>
      </c>
      <c r="E40" s="10">
        <v>0</v>
      </c>
      <c r="F40" s="10">
        <v>0</v>
      </c>
      <c r="G40" s="10">
        <v>0</v>
      </c>
      <c r="H40" s="10">
        <v>0</v>
      </c>
      <c r="I40" s="11"/>
      <c r="J40" s="6" t="str">
        <f t="shared" si="0"/>
        <v/>
      </c>
      <c r="K40" s="7"/>
      <c r="L40" s="7"/>
      <c r="M40" s="7"/>
      <c r="N40" s="6"/>
      <c r="O40" s="6"/>
      <c r="P40" s="6"/>
      <c r="Q40" s="6"/>
    </row>
    <row r="41" spans="1:17" x14ac:dyDescent="0.3">
      <c r="A41" s="6"/>
      <c r="B41" s="9" t="s">
        <v>95</v>
      </c>
      <c r="C41" s="3" t="s">
        <v>56</v>
      </c>
      <c r="D41" s="3" t="s">
        <v>37</v>
      </c>
      <c r="E41" s="10">
        <v>13</v>
      </c>
      <c r="F41" s="10">
        <v>0</v>
      </c>
      <c r="G41" s="10">
        <v>45</v>
      </c>
      <c r="H41" s="10">
        <v>0</v>
      </c>
      <c r="I41" s="11"/>
      <c r="J41" s="6" t="str">
        <f t="shared" si="0"/>
        <v/>
      </c>
      <c r="K41" s="7"/>
      <c r="L41" s="7"/>
      <c r="M41" s="7"/>
      <c r="N41" s="6"/>
      <c r="O41" s="6"/>
      <c r="P41" s="6"/>
      <c r="Q41" s="6"/>
    </row>
    <row r="42" spans="1:17" x14ac:dyDescent="0.3">
      <c r="A42" s="6"/>
      <c r="B42" s="9" t="s">
        <v>96</v>
      </c>
      <c r="C42" s="3" t="s">
        <v>41</v>
      </c>
      <c r="D42" s="3" t="s">
        <v>45</v>
      </c>
      <c r="E42" s="10">
        <v>12</v>
      </c>
      <c r="F42" s="10">
        <v>13</v>
      </c>
      <c r="G42" s="10">
        <v>30</v>
      </c>
      <c r="H42" s="10">
        <v>0</v>
      </c>
      <c r="I42" s="11"/>
      <c r="J42" s="6" t="str">
        <f t="shared" si="0"/>
        <v/>
      </c>
      <c r="K42" s="7"/>
      <c r="L42" s="7"/>
      <c r="M42" s="7"/>
      <c r="N42" s="6"/>
      <c r="O42" s="6"/>
      <c r="P42" s="6"/>
      <c r="Q42" s="6"/>
    </row>
    <row r="43" spans="1:17" x14ac:dyDescent="0.3">
      <c r="A43" s="6"/>
      <c r="B43" s="9" t="s">
        <v>97</v>
      </c>
      <c r="C43" s="3" t="s">
        <v>68</v>
      </c>
      <c r="D43" s="3" t="s">
        <v>45</v>
      </c>
      <c r="E43" s="10">
        <v>0</v>
      </c>
      <c r="F43" s="10">
        <v>0</v>
      </c>
      <c r="G43" s="10">
        <v>0</v>
      </c>
      <c r="H43" s="10">
        <v>0</v>
      </c>
      <c r="I43" s="11"/>
      <c r="J43" s="6" t="str">
        <f t="shared" si="0"/>
        <v/>
      </c>
      <c r="K43" s="7"/>
      <c r="L43" s="7"/>
      <c r="M43" s="7"/>
      <c r="N43" s="6"/>
      <c r="O43" s="6"/>
      <c r="P43" s="6"/>
      <c r="Q43" s="6"/>
    </row>
    <row r="44" spans="1:17" x14ac:dyDescent="0.3">
      <c r="A44" s="6"/>
      <c r="B44" s="16"/>
      <c r="C44" s="17"/>
      <c r="D44" s="17"/>
      <c r="E44" s="16"/>
      <c r="F44" s="16"/>
      <c r="G44" s="16"/>
      <c r="H44" s="16"/>
      <c r="I44" s="15"/>
      <c r="J44" s="6"/>
      <c r="K44" s="7"/>
      <c r="L44" s="7"/>
      <c r="M44" s="7"/>
      <c r="N44" s="6"/>
      <c r="O44" s="6"/>
      <c r="P44" s="6"/>
      <c r="Q44" s="6"/>
    </row>
    <row r="45" spans="1:17" x14ac:dyDescent="0.3">
      <c r="A45" s="6"/>
      <c r="B45" s="16"/>
      <c r="C45" s="17"/>
      <c r="D45" s="17"/>
      <c r="E45" s="16"/>
      <c r="F45" s="16"/>
      <c r="G45" s="16"/>
      <c r="H45" s="16"/>
      <c r="I45" s="15"/>
      <c r="J45" s="6"/>
      <c r="K45" s="7"/>
      <c r="L45" s="7"/>
      <c r="M45" s="7"/>
      <c r="N45" s="6"/>
      <c r="O45" s="6"/>
      <c r="P45" s="6"/>
      <c r="Q45" s="6"/>
    </row>
    <row r="46" spans="1:17" x14ac:dyDescent="0.3">
      <c r="A46" s="6"/>
      <c r="B46" s="6"/>
      <c r="C46" s="42" t="s">
        <v>176</v>
      </c>
      <c r="D46" s="6"/>
      <c r="E46" s="6"/>
      <c r="F46" s="6"/>
      <c r="G46" s="6"/>
      <c r="H46" s="6"/>
      <c r="I46" s="6"/>
      <c r="J46" s="6"/>
      <c r="K46" s="7"/>
      <c r="L46" s="7"/>
      <c r="M46" s="7"/>
      <c r="N46" s="6"/>
      <c r="O46" s="6"/>
      <c r="P46" s="6"/>
      <c r="Q46" s="6"/>
    </row>
    <row r="47" spans="1:17" x14ac:dyDescent="0.3">
      <c r="A47" s="6"/>
      <c r="B47" s="6" t="s">
        <v>98</v>
      </c>
      <c r="C47" s="42" t="s">
        <v>175</v>
      </c>
      <c r="D47" s="6"/>
      <c r="E47" s="6"/>
      <c r="F47" s="6"/>
      <c r="G47" s="6"/>
      <c r="H47" s="6"/>
      <c r="I47" s="6"/>
      <c r="J47" s="6"/>
      <c r="K47" s="6" t="s">
        <v>99</v>
      </c>
      <c r="L47" s="7"/>
      <c r="M47" s="6"/>
      <c r="N47" s="6"/>
      <c r="O47" s="6"/>
      <c r="P47" s="6"/>
      <c r="Q47" s="6"/>
    </row>
    <row r="48" spans="1:17" x14ac:dyDescent="0.3">
      <c r="A48" s="6"/>
      <c r="B48" s="18"/>
      <c r="C48" s="18" t="s">
        <v>100</v>
      </c>
      <c r="D48" s="18">
        <v>4</v>
      </c>
      <c r="E48" s="18">
        <v>3</v>
      </c>
      <c r="F48" s="18">
        <v>2</v>
      </c>
      <c r="G48" s="18">
        <v>1</v>
      </c>
      <c r="H48" s="18">
        <v>0</v>
      </c>
      <c r="I48" s="19" t="s">
        <v>101</v>
      </c>
      <c r="J48" s="6"/>
      <c r="K48" s="3" t="s">
        <v>102</v>
      </c>
      <c r="L48" s="3" t="s">
        <v>103</v>
      </c>
      <c r="M48" s="7"/>
      <c r="N48" s="6"/>
      <c r="O48" s="6"/>
      <c r="P48" s="6"/>
      <c r="Q48" s="6"/>
    </row>
    <row r="49" spans="1:17" x14ac:dyDescent="0.3">
      <c r="A49" s="6"/>
      <c r="B49" s="44" t="s">
        <v>103</v>
      </c>
      <c r="C49" s="20" t="s">
        <v>36</v>
      </c>
      <c r="D49" s="11">
        <v>5</v>
      </c>
      <c r="E49" s="11">
        <v>1</v>
      </c>
      <c r="F49" s="11">
        <v>3</v>
      </c>
      <c r="G49" s="11">
        <v>4</v>
      </c>
      <c r="H49" s="11"/>
      <c r="I49" s="11"/>
      <c r="J49" s="6"/>
      <c r="K49" s="3">
        <v>0</v>
      </c>
      <c r="L49" s="3" t="s">
        <v>104</v>
      </c>
      <c r="M49" s="7"/>
      <c r="N49" s="6"/>
      <c r="O49" s="6"/>
      <c r="P49" s="6"/>
      <c r="Q49" s="6"/>
    </row>
    <row r="50" spans="1:17" x14ac:dyDescent="0.3">
      <c r="A50" s="6"/>
      <c r="B50" s="44"/>
      <c r="C50" s="20" t="s">
        <v>66</v>
      </c>
      <c r="D50" s="11">
        <v>4</v>
      </c>
      <c r="E50" s="11"/>
      <c r="F50" s="11">
        <v>5</v>
      </c>
      <c r="G50" s="11">
        <v>1</v>
      </c>
      <c r="H50" s="11">
        <v>2</v>
      </c>
      <c r="I50" s="11"/>
      <c r="J50" s="6"/>
      <c r="K50" s="3">
        <v>5</v>
      </c>
      <c r="L50" s="3" t="s">
        <v>105</v>
      </c>
      <c r="M50" s="7"/>
      <c r="N50" s="6"/>
      <c r="O50" s="6"/>
      <c r="P50" s="6"/>
      <c r="Q50" s="6"/>
    </row>
    <row r="51" spans="1:17" x14ac:dyDescent="0.3">
      <c r="A51" s="6"/>
      <c r="B51" s="44"/>
      <c r="C51" s="20" t="s">
        <v>53</v>
      </c>
      <c r="D51" s="11"/>
      <c r="E51" s="11">
        <v>1</v>
      </c>
      <c r="F51" s="11">
        <v>2</v>
      </c>
      <c r="G51" s="11"/>
      <c r="H51" s="11">
        <v>1</v>
      </c>
      <c r="I51" s="11"/>
      <c r="J51" s="6"/>
      <c r="K51" s="3">
        <v>10</v>
      </c>
      <c r="L51" s="3" t="s">
        <v>106</v>
      </c>
      <c r="M51" s="7"/>
      <c r="N51" s="6"/>
      <c r="O51" s="6"/>
      <c r="P51" s="6"/>
      <c r="Q51" s="6"/>
    </row>
    <row r="52" spans="1:17" x14ac:dyDescent="0.3">
      <c r="A52" s="6"/>
      <c r="B52" s="44"/>
      <c r="C52" s="20" t="s">
        <v>107</v>
      </c>
      <c r="D52" s="11">
        <v>2</v>
      </c>
      <c r="E52" s="11">
        <v>2</v>
      </c>
      <c r="F52" s="11"/>
      <c r="G52" s="11">
        <v>1</v>
      </c>
      <c r="H52" s="11"/>
      <c r="I52" s="11"/>
      <c r="J52" s="6"/>
      <c r="K52" s="3">
        <v>15</v>
      </c>
      <c r="L52" s="3" t="s">
        <v>108</v>
      </c>
      <c r="M52" s="7"/>
      <c r="N52" s="6"/>
      <c r="O52" s="6"/>
      <c r="P52" s="6"/>
      <c r="Q52" s="6"/>
    </row>
    <row r="53" spans="1:17" x14ac:dyDescent="0.3">
      <c r="A53" s="6"/>
      <c r="B53" s="44"/>
      <c r="C53" s="20" t="s">
        <v>109</v>
      </c>
      <c r="D53" s="11">
        <v>1</v>
      </c>
      <c r="E53" s="11">
        <v>0</v>
      </c>
      <c r="F53" s="11">
        <v>1</v>
      </c>
      <c r="G53" s="11">
        <v>4</v>
      </c>
      <c r="H53" s="11">
        <v>1</v>
      </c>
      <c r="I53" s="11"/>
      <c r="J53" s="6"/>
      <c r="K53" s="3">
        <v>20</v>
      </c>
      <c r="L53" s="3" t="s">
        <v>110</v>
      </c>
      <c r="M53" s="7"/>
      <c r="N53" s="6"/>
      <c r="O53" s="6"/>
      <c r="P53" s="6"/>
      <c r="Q53" s="6"/>
    </row>
    <row r="54" spans="1:17" x14ac:dyDescent="0.3">
      <c r="A54" s="6"/>
      <c r="B54" s="44"/>
      <c r="C54" s="20" t="s">
        <v>111</v>
      </c>
      <c r="D54" s="11">
        <v>5</v>
      </c>
      <c r="E54" s="11"/>
      <c r="F54" s="11"/>
      <c r="G54" s="11"/>
      <c r="H54" s="11"/>
      <c r="I54" s="11"/>
      <c r="J54" s="6"/>
      <c r="K54" s="7"/>
      <c r="L54" s="7"/>
      <c r="M54" s="7"/>
      <c r="N54" s="6"/>
      <c r="O54" s="6"/>
      <c r="P54" s="6"/>
      <c r="Q54" s="6"/>
    </row>
    <row r="55" spans="1:17" x14ac:dyDescent="0.3">
      <c r="A55" s="6"/>
      <c r="B55" s="6"/>
      <c r="C55" s="6"/>
      <c r="D55" s="6"/>
      <c r="E55" s="6"/>
      <c r="F55" s="6"/>
      <c r="G55" s="6"/>
      <c r="H55" s="6"/>
      <c r="I55" s="6"/>
      <c r="J55" s="7"/>
      <c r="K55" s="7"/>
      <c r="L55" s="7"/>
      <c r="M55" s="6"/>
      <c r="N55" s="6"/>
      <c r="O55" s="6"/>
      <c r="P55" s="6"/>
      <c r="Q55" s="6"/>
    </row>
    <row r="56" spans="1:17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7"/>
      <c r="L56" s="7"/>
      <c r="M56" s="7"/>
      <c r="N56" s="6"/>
      <c r="O56" s="6"/>
      <c r="P56" s="6"/>
      <c r="Q56" s="6"/>
    </row>
    <row r="57" spans="1:17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7"/>
      <c r="L57" s="7"/>
      <c r="M57" s="7"/>
      <c r="N57" s="6"/>
      <c r="O57" s="6"/>
      <c r="P57" s="6"/>
      <c r="Q57" s="6"/>
    </row>
    <row r="58" spans="1:17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7"/>
      <c r="L58" s="7"/>
      <c r="M58" s="7"/>
      <c r="N58" s="6"/>
      <c r="O58" s="6"/>
      <c r="P58" s="6"/>
      <c r="Q58" s="6"/>
    </row>
    <row r="59" spans="1:17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7"/>
      <c r="L59" s="7"/>
      <c r="M59" s="7"/>
      <c r="N59" s="6"/>
      <c r="O59" s="6"/>
      <c r="P59" s="6"/>
      <c r="Q59" s="6"/>
    </row>
    <row r="60" spans="1:17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7"/>
      <c r="L60" s="7"/>
      <c r="M60" s="7"/>
      <c r="N60" s="6"/>
      <c r="O60" s="6"/>
      <c r="P60" s="6"/>
      <c r="Q60" s="6"/>
    </row>
    <row r="61" spans="1:17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7"/>
      <c r="L61" s="7"/>
      <c r="M61" s="7"/>
      <c r="N61" s="6"/>
      <c r="O61" s="6"/>
      <c r="P61" s="6"/>
      <c r="Q61" s="6"/>
    </row>
    <row r="62" spans="1:17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7"/>
      <c r="L62" s="7"/>
      <c r="M62" s="7"/>
      <c r="N62" s="6"/>
      <c r="O62" s="6"/>
      <c r="P62" s="6"/>
      <c r="Q62" s="6"/>
    </row>
    <row r="63" spans="1:17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7"/>
      <c r="L63" s="7"/>
      <c r="M63" s="7"/>
      <c r="N63" s="6"/>
      <c r="O63" s="6"/>
      <c r="P63" s="6"/>
      <c r="Q63" s="6"/>
    </row>
    <row r="64" spans="1:17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7"/>
      <c r="L64" s="7"/>
      <c r="M64" s="7"/>
      <c r="N64" s="6"/>
      <c r="O64" s="6"/>
      <c r="P64" s="6"/>
      <c r="Q64" s="6"/>
    </row>
    <row r="65" spans="1:17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7"/>
      <c r="L65" s="7"/>
      <c r="M65" s="7"/>
      <c r="N65" s="6"/>
      <c r="O65" s="6"/>
      <c r="P65" s="6"/>
      <c r="Q65" s="6"/>
    </row>
    <row r="66" spans="1:17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7"/>
      <c r="L66" s="7"/>
      <c r="M66" s="7"/>
      <c r="N66" s="6"/>
      <c r="O66" s="6"/>
      <c r="P66" s="6"/>
      <c r="Q66" s="6"/>
    </row>
    <row r="67" spans="1:17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7"/>
      <c r="L67" s="7"/>
      <c r="M67" s="7"/>
      <c r="N67" s="6"/>
      <c r="O67" s="6"/>
      <c r="P67" s="6"/>
      <c r="Q67" s="6"/>
    </row>
    <row r="68" spans="1:17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7"/>
      <c r="L68" s="7"/>
      <c r="M68" s="7"/>
      <c r="N68" s="6"/>
      <c r="O68" s="6"/>
      <c r="P68" s="6"/>
      <c r="Q68" s="6"/>
    </row>
    <row r="69" spans="1:17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7"/>
      <c r="L69" s="7"/>
      <c r="M69" s="7"/>
      <c r="N69" s="6"/>
      <c r="O69" s="6"/>
      <c r="P69" s="6"/>
      <c r="Q69" s="6"/>
    </row>
    <row r="70" spans="1:17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7"/>
      <c r="L70" s="7"/>
      <c r="M70" s="7"/>
      <c r="N70" s="6"/>
      <c r="O70" s="6"/>
      <c r="P70" s="6"/>
      <c r="Q70" s="6"/>
    </row>
    <row r="71" spans="1:17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7"/>
      <c r="L71" s="7"/>
      <c r="M71" s="7"/>
      <c r="N71" s="6"/>
      <c r="O71" s="6"/>
      <c r="P71" s="6"/>
      <c r="Q71" s="6"/>
    </row>
  </sheetData>
  <mergeCells count="1">
    <mergeCell ref="B49:B54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F1"/>
  <sheetViews>
    <sheetView workbookViewId="0"/>
  </sheetViews>
  <sheetFormatPr defaultRowHeight="16.5" x14ac:dyDescent="0.3"/>
  <sheetData>
    <row r="1" spans="1:6" x14ac:dyDescent="0.3">
      <c r="A1" s="38" t="s">
        <v>177</v>
      </c>
      <c r="F1" s="43" t="s">
        <v>178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F31"/>
  <sheetViews>
    <sheetView workbookViewId="0"/>
  </sheetViews>
  <sheetFormatPr defaultRowHeight="16.5" x14ac:dyDescent="0.3"/>
  <sheetData>
    <row r="1" spans="1:6" x14ac:dyDescent="0.3">
      <c r="A1" s="23" t="s">
        <v>112</v>
      </c>
      <c r="B1" s="23" t="s">
        <v>113</v>
      </c>
      <c r="C1" s="23" t="s">
        <v>114</v>
      </c>
      <c r="D1" s="23" t="s">
        <v>115</v>
      </c>
      <c r="E1" s="23" t="s">
        <v>116</v>
      </c>
      <c r="F1" s="23" t="s">
        <v>117</v>
      </c>
    </row>
    <row r="2" spans="1:6" x14ac:dyDescent="0.3">
      <c r="A2" s="24" t="s">
        <v>118</v>
      </c>
      <c r="B2" s="24" t="s">
        <v>9</v>
      </c>
      <c r="C2" s="24">
        <v>10</v>
      </c>
      <c r="D2" s="24">
        <v>10</v>
      </c>
      <c r="E2" s="24">
        <v>500</v>
      </c>
      <c r="F2" s="24">
        <v>5</v>
      </c>
    </row>
    <row r="3" spans="1:6" x14ac:dyDescent="0.3">
      <c r="A3" s="24" t="s">
        <v>118</v>
      </c>
      <c r="B3" s="24" t="s">
        <v>13</v>
      </c>
      <c r="C3" s="24">
        <v>10</v>
      </c>
      <c r="D3" s="24">
        <v>10</v>
      </c>
      <c r="E3" s="24">
        <v>200</v>
      </c>
      <c r="F3" s="24">
        <v>2</v>
      </c>
    </row>
    <row r="4" spans="1:6" x14ac:dyDescent="0.3">
      <c r="A4" s="24" t="s">
        <v>118</v>
      </c>
      <c r="B4" s="24" t="s">
        <v>13</v>
      </c>
      <c r="C4" s="24">
        <v>10</v>
      </c>
      <c r="D4" s="24">
        <v>10</v>
      </c>
      <c r="E4" s="24">
        <v>100</v>
      </c>
      <c r="F4" s="24">
        <v>1</v>
      </c>
    </row>
    <row r="5" spans="1:6" x14ac:dyDescent="0.3">
      <c r="A5" s="24" t="s">
        <v>119</v>
      </c>
      <c r="B5" s="24" t="s">
        <v>9</v>
      </c>
      <c r="C5" s="24">
        <v>50</v>
      </c>
      <c r="D5" s="24">
        <v>50</v>
      </c>
      <c r="E5" s="24">
        <v>1000</v>
      </c>
      <c r="F5" s="24">
        <v>10</v>
      </c>
    </row>
    <row r="6" spans="1:6" x14ac:dyDescent="0.3">
      <c r="A6" s="24" t="s">
        <v>119</v>
      </c>
      <c r="B6" s="24" t="s">
        <v>9</v>
      </c>
      <c r="C6" s="24">
        <v>100</v>
      </c>
      <c r="D6" s="24">
        <v>100</v>
      </c>
      <c r="E6" s="24">
        <v>10000</v>
      </c>
      <c r="F6" s="24">
        <v>100</v>
      </c>
    </row>
    <row r="7" spans="1:6" x14ac:dyDescent="0.3">
      <c r="A7" s="24" t="s">
        <v>119</v>
      </c>
      <c r="B7" s="24" t="s">
        <v>13</v>
      </c>
      <c r="C7" s="24">
        <v>10</v>
      </c>
      <c r="D7" s="24">
        <v>10</v>
      </c>
      <c r="E7" s="24">
        <v>2000</v>
      </c>
      <c r="F7" s="24">
        <v>20</v>
      </c>
    </row>
    <row r="8" spans="1:6" x14ac:dyDescent="0.3">
      <c r="A8" s="24" t="s">
        <v>119</v>
      </c>
      <c r="B8" s="24" t="s">
        <v>13</v>
      </c>
      <c r="C8" s="24">
        <v>50</v>
      </c>
      <c r="D8" s="24">
        <v>50</v>
      </c>
      <c r="E8" s="24">
        <v>1500</v>
      </c>
      <c r="F8" s="24">
        <v>15</v>
      </c>
    </row>
    <row r="9" spans="1:6" x14ac:dyDescent="0.3">
      <c r="A9" s="24" t="s">
        <v>119</v>
      </c>
      <c r="B9" s="24" t="s">
        <v>13</v>
      </c>
      <c r="C9" s="24">
        <v>50</v>
      </c>
      <c r="D9" s="24">
        <v>50</v>
      </c>
      <c r="E9" s="24">
        <v>2000</v>
      </c>
      <c r="F9" s="24">
        <v>20</v>
      </c>
    </row>
    <row r="10" spans="1:6" x14ac:dyDescent="0.3">
      <c r="A10" s="24" t="s">
        <v>118</v>
      </c>
      <c r="B10" s="24" t="s">
        <v>13</v>
      </c>
      <c r="C10" s="24">
        <v>10</v>
      </c>
      <c r="D10" s="24">
        <v>10</v>
      </c>
      <c r="E10" s="24">
        <v>600</v>
      </c>
      <c r="F10" s="24">
        <v>6</v>
      </c>
    </row>
    <row r="11" spans="1:6" x14ac:dyDescent="0.3">
      <c r="A11" s="24" t="s">
        <v>118</v>
      </c>
      <c r="B11" s="24" t="s">
        <v>13</v>
      </c>
      <c r="C11" s="24">
        <v>10</v>
      </c>
      <c r="D11" s="24">
        <v>10</v>
      </c>
      <c r="E11" s="24">
        <v>50</v>
      </c>
      <c r="F11" s="24">
        <v>5</v>
      </c>
    </row>
    <row r="12" spans="1:6" x14ac:dyDescent="0.3">
      <c r="A12" s="24" t="s">
        <v>118</v>
      </c>
      <c r="B12" s="24" t="s">
        <v>13</v>
      </c>
      <c r="C12" s="24">
        <v>10</v>
      </c>
      <c r="D12" s="24">
        <v>0</v>
      </c>
      <c r="E12" s="24">
        <v>0</v>
      </c>
      <c r="F12" s="24">
        <v>0</v>
      </c>
    </row>
    <row r="13" spans="1:6" x14ac:dyDescent="0.3">
      <c r="A13" s="24" t="s">
        <v>118</v>
      </c>
      <c r="B13" s="24" t="s">
        <v>13</v>
      </c>
      <c r="C13" s="24">
        <v>10</v>
      </c>
      <c r="D13" s="24">
        <v>20</v>
      </c>
      <c r="E13" s="24">
        <v>30</v>
      </c>
      <c r="F13" s="24">
        <v>3</v>
      </c>
    </row>
    <row r="14" spans="1:6" x14ac:dyDescent="0.3">
      <c r="A14" s="24" t="s">
        <v>118</v>
      </c>
      <c r="B14" s="24" t="s">
        <v>13</v>
      </c>
      <c r="C14" s="24">
        <v>50</v>
      </c>
      <c r="D14" s="24">
        <v>5</v>
      </c>
      <c r="E14" s="24">
        <v>1000</v>
      </c>
      <c r="F14" s="24">
        <v>10</v>
      </c>
    </row>
    <row r="15" spans="1:6" x14ac:dyDescent="0.3">
      <c r="A15" s="24" t="s">
        <v>120</v>
      </c>
      <c r="B15" s="24" t="s">
        <v>13</v>
      </c>
      <c r="C15" s="24">
        <v>50</v>
      </c>
      <c r="D15" s="24">
        <v>50</v>
      </c>
      <c r="E15" s="24">
        <v>0</v>
      </c>
      <c r="F15" s="24">
        <v>0</v>
      </c>
    </row>
    <row r="16" spans="1:6" x14ac:dyDescent="0.3">
      <c r="A16" s="24" t="s">
        <v>119</v>
      </c>
      <c r="B16" s="24" t="s">
        <v>13</v>
      </c>
      <c r="C16" s="24">
        <v>10</v>
      </c>
      <c r="D16" s="24">
        <v>10</v>
      </c>
      <c r="E16" s="24">
        <v>20000</v>
      </c>
      <c r="F16" s="24">
        <v>20</v>
      </c>
    </row>
    <row r="17" spans="1:6" x14ac:dyDescent="0.3">
      <c r="A17" s="24" t="s">
        <v>119</v>
      </c>
      <c r="B17" s="24" t="s">
        <v>13</v>
      </c>
      <c r="C17" s="24">
        <v>10</v>
      </c>
      <c r="D17" s="24">
        <v>10</v>
      </c>
      <c r="E17" s="24">
        <v>40000</v>
      </c>
      <c r="F17" s="24">
        <v>40</v>
      </c>
    </row>
    <row r="18" spans="1:6" x14ac:dyDescent="0.3">
      <c r="A18" s="24" t="s">
        <v>119</v>
      </c>
      <c r="B18" s="24" t="s">
        <v>13</v>
      </c>
      <c r="C18" s="24">
        <v>50</v>
      </c>
      <c r="D18" s="24">
        <v>5</v>
      </c>
      <c r="E18" s="24">
        <v>30000</v>
      </c>
      <c r="F18" s="24">
        <v>30</v>
      </c>
    </row>
    <row r="19" spans="1:6" x14ac:dyDescent="0.3">
      <c r="A19" s="24" t="s">
        <v>120</v>
      </c>
      <c r="B19" s="24" t="s">
        <v>13</v>
      </c>
      <c r="C19" s="24">
        <v>10</v>
      </c>
      <c r="D19" s="24">
        <v>10</v>
      </c>
      <c r="E19" s="24">
        <v>10000</v>
      </c>
      <c r="F19" s="24">
        <v>0</v>
      </c>
    </row>
    <row r="20" spans="1:6" x14ac:dyDescent="0.3">
      <c r="A20" s="24" t="s">
        <v>118</v>
      </c>
      <c r="B20" s="24" t="s">
        <v>13</v>
      </c>
      <c r="C20" s="24">
        <v>50</v>
      </c>
      <c r="D20" s="24">
        <v>35</v>
      </c>
      <c r="E20" s="24">
        <v>10000</v>
      </c>
      <c r="F20" s="24">
        <v>10</v>
      </c>
    </row>
    <row r="21" spans="1:6" x14ac:dyDescent="0.3">
      <c r="A21" s="24" t="s">
        <v>118</v>
      </c>
      <c r="B21" s="24" t="s">
        <v>9</v>
      </c>
      <c r="C21" s="24">
        <v>10</v>
      </c>
      <c r="D21" s="24">
        <v>10</v>
      </c>
      <c r="E21" s="24">
        <v>10000</v>
      </c>
      <c r="F21" s="24">
        <v>10</v>
      </c>
    </row>
    <row r="22" spans="1:6" x14ac:dyDescent="0.3">
      <c r="A22" s="24" t="s">
        <v>118</v>
      </c>
      <c r="B22" s="24" t="s">
        <v>9</v>
      </c>
      <c r="C22" s="24">
        <v>20</v>
      </c>
      <c r="D22" s="24">
        <v>20</v>
      </c>
      <c r="E22" s="24">
        <v>40000</v>
      </c>
      <c r="F22" s="24">
        <v>40</v>
      </c>
    </row>
    <row r="23" spans="1:6" x14ac:dyDescent="0.3">
      <c r="A23" s="24" t="s">
        <v>119</v>
      </c>
      <c r="B23" s="24" t="s">
        <v>13</v>
      </c>
      <c r="C23" s="24">
        <v>15</v>
      </c>
      <c r="D23" s="24">
        <v>15</v>
      </c>
      <c r="E23" s="24">
        <v>60000</v>
      </c>
      <c r="F23" s="24">
        <v>60</v>
      </c>
    </row>
    <row r="24" spans="1:6" x14ac:dyDescent="0.3">
      <c r="A24" s="24" t="s">
        <v>119</v>
      </c>
      <c r="B24" s="24" t="s">
        <v>13</v>
      </c>
      <c r="C24" s="24">
        <v>15</v>
      </c>
      <c r="D24" s="24">
        <v>10</v>
      </c>
      <c r="E24" s="24">
        <v>200</v>
      </c>
      <c r="F24" s="24">
        <v>2</v>
      </c>
    </row>
    <row r="25" spans="1:6" x14ac:dyDescent="0.3">
      <c r="A25" s="24" t="s">
        <v>119</v>
      </c>
      <c r="B25" s="24" t="s">
        <v>13</v>
      </c>
      <c r="C25" s="24">
        <v>15</v>
      </c>
      <c r="D25" s="24">
        <v>10</v>
      </c>
      <c r="E25" s="24">
        <v>10000</v>
      </c>
      <c r="F25" s="24">
        <v>10</v>
      </c>
    </row>
    <row r="26" spans="1:6" x14ac:dyDescent="0.3">
      <c r="A26" s="24" t="s">
        <v>118</v>
      </c>
      <c r="B26" s="24" t="s">
        <v>13</v>
      </c>
      <c r="C26" s="24">
        <v>15</v>
      </c>
      <c r="D26" s="24">
        <v>10</v>
      </c>
      <c r="E26" s="24">
        <v>10000</v>
      </c>
      <c r="F26" s="24">
        <v>10</v>
      </c>
    </row>
    <row r="27" spans="1:6" x14ac:dyDescent="0.3">
      <c r="A27" s="24" t="s">
        <v>118</v>
      </c>
      <c r="B27" s="24" t="s">
        <v>13</v>
      </c>
      <c r="C27" s="24">
        <v>10</v>
      </c>
      <c r="D27" s="24">
        <v>10</v>
      </c>
      <c r="E27" s="24">
        <v>100</v>
      </c>
      <c r="F27" s="24">
        <v>1</v>
      </c>
    </row>
    <row r="28" spans="1:6" x14ac:dyDescent="0.3">
      <c r="A28" s="24" t="s">
        <v>118</v>
      </c>
      <c r="B28" s="24" t="s">
        <v>13</v>
      </c>
      <c r="C28" s="24">
        <v>10</v>
      </c>
      <c r="D28" s="24">
        <v>10</v>
      </c>
      <c r="E28" s="24">
        <v>600</v>
      </c>
      <c r="F28" s="24">
        <v>6</v>
      </c>
    </row>
    <row r="29" spans="1:6" x14ac:dyDescent="0.3">
      <c r="A29" s="24" t="s">
        <v>118</v>
      </c>
      <c r="B29" s="24" t="s">
        <v>9</v>
      </c>
      <c r="C29" s="24">
        <v>40</v>
      </c>
      <c r="D29" s="24">
        <v>40</v>
      </c>
      <c r="E29" s="24">
        <v>8000</v>
      </c>
      <c r="F29" s="24">
        <v>80</v>
      </c>
    </row>
    <row r="30" spans="1:6" x14ac:dyDescent="0.3">
      <c r="A30" s="24" t="s">
        <v>118</v>
      </c>
      <c r="B30" s="24" t="s">
        <v>13</v>
      </c>
      <c r="C30" s="24">
        <v>50</v>
      </c>
      <c r="D30" s="24">
        <v>50</v>
      </c>
      <c r="E30" s="24">
        <v>2000</v>
      </c>
      <c r="F30" s="24">
        <v>20</v>
      </c>
    </row>
    <row r="31" spans="1:6" x14ac:dyDescent="0.3">
      <c r="A31" s="24" t="s">
        <v>119</v>
      </c>
      <c r="B31" s="24" t="s">
        <v>13</v>
      </c>
      <c r="C31" s="24">
        <v>10</v>
      </c>
      <c r="D31" s="24">
        <v>5</v>
      </c>
      <c r="E31" s="24">
        <v>0</v>
      </c>
      <c r="F31" s="24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2:N42"/>
  <sheetViews>
    <sheetView workbookViewId="0"/>
  </sheetViews>
  <sheetFormatPr defaultRowHeight="16.5" x14ac:dyDescent="0.3"/>
  <sheetData>
    <row r="2" spans="2:14" ht="24" x14ac:dyDescent="0.3">
      <c r="B2" s="45" t="s">
        <v>130</v>
      </c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</row>
    <row r="3" spans="2:14" x14ac:dyDescent="0.3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14" x14ac:dyDescent="0.3">
      <c r="B4" s="29" t="s">
        <v>131</v>
      </c>
      <c r="C4" s="29" t="s">
        <v>132</v>
      </c>
      <c r="D4" s="29" t="s">
        <v>133</v>
      </c>
      <c r="E4" s="29" t="s">
        <v>134</v>
      </c>
      <c r="F4" s="29" t="s">
        <v>135</v>
      </c>
      <c r="G4" s="29" t="s">
        <v>136</v>
      </c>
      <c r="H4" s="29" t="s">
        <v>137</v>
      </c>
      <c r="I4" s="29" t="s">
        <v>138</v>
      </c>
      <c r="J4" s="29" t="s">
        <v>139</v>
      </c>
      <c r="K4" s="29" t="s">
        <v>140</v>
      </c>
      <c r="L4" s="29" t="s">
        <v>141</v>
      </c>
      <c r="M4" s="29" t="s">
        <v>142</v>
      </c>
      <c r="N4" s="29" t="s">
        <v>143</v>
      </c>
    </row>
    <row r="5" spans="2:14" x14ac:dyDescent="0.3">
      <c r="B5" s="29" t="s">
        <v>144</v>
      </c>
      <c r="C5" s="29">
        <v>9</v>
      </c>
      <c r="D5" s="29">
        <v>32</v>
      </c>
      <c r="E5" s="29">
        <v>14</v>
      </c>
      <c r="F5" s="29">
        <v>4</v>
      </c>
      <c r="G5" s="29">
        <v>12</v>
      </c>
      <c r="H5" s="29">
        <v>13</v>
      </c>
      <c r="I5" s="29">
        <v>-7</v>
      </c>
      <c r="J5" s="30">
        <v>12</v>
      </c>
      <c r="K5" s="30">
        <v>10</v>
      </c>
      <c r="L5" s="30">
        <v>4</v>
      </c>
      <c r="M5" s="30">
        <v>-2</v>
      </c>
      <c r="N5" s="30">
        <v>6</v>
      </c>
    </row>
    <row r="6" spans="2:14" x14ac:dyDescent="0.3">
      <c r="B6" s="29" t="s">
        <v>145</v>
      </c>
      <c r="C6" s="29">
        <v>17</v>
      </c>
      <c r="D6" s="29">
        <v>31</v>
      </c>
      <c r="E6" s="29">
        <v>5</v>
      </c>
      <c r="F6" s="29">
        <v>-8</v>
      </c>
      <c r="G6" s="29">
        <v>6</v>
      </c>
      <c r="H6" s="29">
        <v>11</v>
      </c>
      <c r="I6" s="29">
        <v>-10</v>
      </c>
      <c r="J6" s="29">
        <v>6</v>
      </c>
      <c r="K6" s="30">
        <v>14</v>
      </c>
      <c r="L6" s="30">
        <v>10</v>
      </c>
      <c r="M6" s="30">
        <v>-12</v>
      </c>
      <c r="N6" s="30">
        <v>-1</v>
      </c>
    </row>
    <row r="7" spans="2:14" x14ac:dyDescent="0.3">
      <c r="B7" s="29" t="s">
        <v>146</v>
      </c>
      <c r="C7" s="29">
        <v>24</v>
      </c>
      <c r="D7" s="29">
        <v>40</v>
      </c>
      <c r="E7" s="29">
        <v>16</v>
      </c>
      <c r="F7" s="29">
        <v>-1</v>
      </c>
      <c r="G7" s="29">
        <v>5</v>
      </c>
      <c r="H7" s="29">
        <v>5</v>
      </c>
      <c r="I7" s="29">
        <v>-8</v>
      </c>
      <c r="J7" s="29">
        <v>25</v>
      </c>
      <c r="K7" s="30">
        <v>22</v>
      </c>
      <c r="L7" s="30">
        <v>9</v>
      </c>
      <c r="M7" s="30">
        <v>-1</v>
      </c>
      <c r="N7" s="30">
        <v>9</v>
      </c>
    </row>
    <row r="8" spans="2:14" x14ac:dyDescent="0.3">
      <c r="B8" s="29" t="s">
        <v>147</v>
      </c>
      <c r="C8" s="29">
        <v>21</v>
      </c>
      <c r="D8" s="29">
        <v>33</v>
      </c>
      <c r="E8" s="29">
        <v>7</v>
      </c>
      <c r="F8" s="29">
        <v>-7</v>
      </c>
      <c r="G8" s="29">
        <v>8</v>
      </c>
      <c r="H8" s="29">
        <v>8</v>
      </c>
      <c r="I8" s="29">
        <v>-6</v>
      </c>
      <c r="J8" s="29">
        <v>10</v>
      </c>
      <c r="K8" s="30">
        <v>15</v>
      </c>
      <c r="L8" s="30">
        <v>11</v>
      </c>
      <c r="M8" s="30">
        <v>-4</v>
      </c>
      <c r="N8" s="30">
        <v>8</v>
      </c>
    </row>
    <row r="9" spans="2:14" x14ac:dyDescent="0.3">
      <c r="B9" s="29" t="s">
        <v>148</v>
      </c>
      <c r="C9" s="29">
        <v>25</v>
      </c>
      <c r="D9" s="29">
        <v>41</v>
      </c>
      <c r="E9" s="29">
        <v>11</v>
      </c>
      <c r="F9" s="29">
        <v>-4</v>
      </c>
      <c r="G9" s="29">
        <v>7</v>
      </c>
      <c r="H9" s="29">
        <v>9</v>
      </c>
      <c r="I9" s="29">
        <v>-14</v>
      </c>
      <c r="J9" s="29">
        <v>20</v>
      </c>
      <c r="K9" s="30">
        <v>7</v>
      </c>
      <c r="L9" s="30">
        <v>5</v>
      </c>
      <c r="M9" s="30">
        <v>1</v>
      </c>
      <c r="N9" s="30">
        <v>11</v>
      </c>
    </row>
    <row r="38" spans="2:2" x14ac:dyDescent="0.3">
      <c r="B38" s="38" t="s">
        <v>183</v>
      </c>
    </row>
    <row r="39" spans="2:2" x14ac:dyDescent="0.3">
      <c r="B39" s="38" t="s">
        <v>179</v>
      </c>
    </row>
    <row r="40" spans="2:2" x14ac:dyDescent="0.3">
      <c r="B40" s="38" t="s">
        <v>180</v>
      </c>
    </row>
    <row r="41" spans="2:2" x14ac:dyDescent="0.3">
      <c r="B41" s="38" t="s">
        <v>181</v>
      </c>
    </row>
    <row r="42" spans="2:2" x14ac:dyDescent="0.3">
      <c r="B42" s="38" t="s">
        <v>182</v>
      </c>
    </row>
  </sheetData>
  <mergeCells count="1">
    <mergeCell ref="B2:N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1:G16"/>
  <sheetViews>
    <sheetView tabSelected="1" workbookViewId="0">
      <selection activeCell="E12" sqref="E12"/>
    </sheetView>
  </sheetViews>
  <sheetFormatPr defaultRowHeight="16.5" x14ac:dyDescent="0.3"/>
  <cols>
    <col min="1" max="1" width="9.625" customWidth="1"/>
    <col min="2" max="2" width="10.75" bestFit="1" customWidth="1"/>
    <col min="3" max="7" width="9.625" customWidth="1"/>
  </cols>
  <sheetData>
    <row r="1" spans="2:7" ht="24" x14ac:dyDescent="0.3">
      <c r="B1" s="46" t="s">
        <v>121</v>
      </c>
      <c r="C1" s="46"/>
      <c r="D1" s="46"/>
      <c r="E1" s="46"/>
      <c r="F1" s="46"/>
      <c r="G1" s="46"/>
    </row>
    <row r="2" spans="2:7" x14ac:dyDescent="0.3">
      <c r="B2" s="6"/>
      <c r="C2" s="7"/>
      <c r="D2" s="6"/>
      <c r="E2" s="6"/>
      <c r="F2" s="6"/>
      <c r="G2" s="6"/>
    </row>
    <row r="3" spans="2:7" x14ac:dyDescent="0.3">
      <c r="B3" s="1" t="s">
        <v>122</v>
      </c>
      <c r="C3" s="25" t="s">
        <v>123</v>
      </c>
      <c r="D3" s="25" t="s">
        <v>114</v>
      </c>
      <c r="E3" s="25" t="s">
        <v>124</v>
      </c>
      <c r="F3" s="25" t="s">
        <v>125</v>
      </c>
      <c r="G3" s="25" t="s">
        <v>126</v>
      </c>
    </row>
    <row r="4" spans="2:7" x14ac:dyDescent="0.3">
      <c r="B4" s="26">
        <v>44201</v>
      </c>
      <c r="C4" s="35" t="s">
        <v>127</v>
      </c>
      <c r="D4" s="37">
        <v>6</v>
      </c>
      <c r="E4" s="28">
        <v>24</v>
      </c>
      <c r="F4" s="28">
        <f>(D4*E4)+4</f>
        <v>148</v>
      </c>
      <c r="G4" s="28">
        <f>INT(F4*0.1)</f>
        <v>14</v>
      </c>
    </row>
    <row r="5" spans="2:7" x14ac:dyDescent="0.3">
      <c r="B5" s="26">
        <v>44202</v>
      </c>
      <c r="C5" s="35" t="s">
        <v>128</v>
      </c>
      <c r="D5" s="37">
        <v>3</v>
      </c>
      <c r="E5" s="28">
        <v>64</v>
      </c>
      <c r="F5" s="28">
        <f t="shared" ref="F5:F16" si="0">(D5*E5)+4</f>
        <v>196</v>
      </c>
      <c r="G5" s="28">
        <f t="shared" ref="G5:G16" si="1">INT(F5*0.1)</f>
        <v>19</v>
      </c>
    </row>
    <row r="6" spans="2:7" x14ac:dyDescent="0.3">
      <c r="B6" s="26">
        <v>44203</v>
      </c>
      <c r="C6" s="35" t="s">
        <v>128</v>
      </c>
      <c r="D6" s="37">
        <v>6</v>
      </c>
      <c r="E6" s="28">
        <v>54</v>
      </c>
      <c r="F6" s="28">
        <f t="shared" si="0"/>
        <v>328</v>
      </c>
      <c r="G6" s="28">
        <f t="shared" si="1"/>
        <v>32</v>
      </c>
    </row>
    <row r="7" spans="2:7" x14ac:dyDescent="0.3">
      <c r="B7" s="26">
        <v>44204</v>
      </c>
      <c r="C7" s="35" t="s">
        <v>129</v>
      </c>
      <c r="D7" s="37">
        <v>9</v>
      </c>
      <c r="E7" s="28">
        <v>204</v>
      </c>
      <c r="F7" s="28">
        <f t="shared" si="0"/>
        <v>1840</v>
      </c>
      <c r="G7" s="28">
        <f t="shared" si="1"/>
        <v>184</v>
      </c>
    </row>
    <row r="8" spans="2:7" x14ac:dyDescent="0.3">
      <c r="B8" s="26">
        <v>44205</v>
      </c>
      <c r="C8" s="35" t="s">
        <v>128</v>
      </c>
      <c r="D8" s="37">
        <v>14</v>
      </c>
      <c r="E8" s="28">
        <v>104</v>
      </c>
      <c r="F8" s="28">
        <f t="shared" si="0"/>
        <v>1460</v>
      </c>
      <c r="G8" s="28">
        <f t="shared" si="1"/>
        <v>146</v>
      </c>
    </row>
    <row r="9" spans="2:7" x14ac:dyDescent="0.3">
      <c r="B9" s="26">
        <v>44206</v>
      </c>
      <c r="C9" s="35" t="s">
        <v>128</v>
      </c>
      <c r="D9" s="37">
        <v>14</v>
      </c>
      <c r="E9" s="28">
        <v>204</v>
      </c>
      <c r="F9" s="28">
        <f t="shared" si="0"/>
        <v>2860</v>
      </c>
      <c r="G9" s="28">
        <f t="shared" si="1"/>
        <v>286</v>
      </c>
    </row>
    <row r="10" spans="2:7" x14ac:dyDescent="0.3">
      <c r="B10" s="26">
        <v>44207</v>
      </c>
      <c r="C10" s="35" t="s">
        <v>129</v>
      </c>
      <c r="D10" s="37">
        <v>9</v>
      </c>
      <c r="E10" s="28">
        <v>304</v>
      </c>
      <c r="F10" s="28">
        <f t="shared" si="0"/>
        <v>2740</v>
      </c>
      <c r="G10" s="28">
        <f t="shared" si="1"/>
        <v>274</v>
      </c>
    </row>
    <row r="11" spans="2:7" x14ac:dyDescent="0.3">
      <c r="B11" s="26">
        <v>44208</v>
      </c>
      <c r="C11" s="35" t="s">
        <v>127</v>
      </c>
      <c r="D11" s="37">
        <v>9</v>
      </c>
      <c r="E11" s="28">
        <v>404</v>
      </c>
      <c r="F11" s="28">
        <f t="shared" si="0"/>
        <v>3640</v>
      </c>
      <c r="G11" s="28">
        <f t="shared" si="1"/>
        <v>364</v>
      </c>
    </row>
    <row r="12" spans="2:7" x14ac:dyDescent="0.3">
      <c r="B12" s="26">
        <v>44209</v>
      </c>
      <c r="C12" s="35" t="s">
        <v>127</v>
      </c>
      <c r="D12" s="37">
        <v>5</v>
      </c>
      <c r="E12" s="28">
        <v>604</v>
      </c>
      <c r="F12" s="28">
        <f t="shared" si="0"/>
        <v>3024</v>
      </c>
      <c r="G12" s="28">
        <f t="shared" si="1"/>
        <v>302</v>
      </c>
    </row>
    <row r="13" spans="2:7" x14ac:dyDescent="0.3">
      <c r="B13" s="26">
        <v>44210</v>
      </c>
      <c r="C13" s="35" t="s">
        <v>129</v>
      </c>
      <c r="D13" s="37">
        <v>6</v>
      </c>
      <c r="E13" s="28">
        <v>29</v>
      </c>
      <c r="F13" s="28">
        <f t="shared" si="0"/>
        <v>178</v>
      </c>
      <c r="G13" s="28">
        <f t="shared" si="1"/>
        <v>17</v>
      </c>
    </row>
    <row r="14" spans="2:7" x14ac:dyDescent="0.3">
      <c r="B14" s="26">
        <v>44211</v>
      </c>
      <c r="C14" s="35" t="s">
        <v>127</v>
      </c>
      <c r="D14" s="37">
        <v>7</v>
      </c>
      <c r="E14" s="28">
        <v>24</v>
      </c>
      <c r="F14" s="28">
        <f t="shared" si="0"/>
        <v>172</v>
      </c>
      <c r="G14" s="28">
        <f t="shared" si="1"/>
        <v>17</v>
      </c>
    </row>
    <row r="15" spans="2:7" x14ac:dyDescent="0.3">
      <c r="B15" s="26">
        <v>44212</v>
      </c>
      <c r="C15" s="35" t="s">
        <v>127</v>
      </c>
      <c r="D15" s="37">
        <v>4</v>
      </c>
      <c r="E15" s="28">
        <v>34</v>
      </c>
      <c r="F15" s="28">
        <f t="shared" si="0"/>
        <v>140</v>
      </c>
      <c r="G15" s="28">
        <f t="shared" si="1"/>
        <v>14</v>
      </c>
    </row>
    <row r="16" spans="2:7" x14ac:dyDescent="0.3">
      <c r="B16" s="26">
        <v>44213</v>
      </c>
      <c r="C16" s="35" t="s">
        <v>129</v>
      </c>
      <c r="D16" s="37">
        <v>9</v>
      </c>
      <c r="E16" s="28">
        <v>204</v>
      </c>
      <c r="F16" s="28">
        <f t="shared" si="0"/>
        <v>1840</v>
      </c>
      <c r="G16" s="28">
        <f t="shared" si="1"/>
        <v>184</v>
      </c>
    </row>
  </sheetData>
  <mergeCells count="1">
    <mergeCell ref="B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2:L11"/>
  <sheetViews>
    <sheetView workbookViewId="0"/>
  </sheetViews>
  <sheetFormatPr defaultRowHeight="16.5" x14ac:dyDescent="0.3"/>
  <cols>
    <col min="2" max="4" width="12.125" customWidth="1"/>
    <col min="5" max="6" width="14.625" customWidth="1"/>
    <col min="11" max="12" width="10.625" bestFit="1" customWidth="1"/>
  </cols>
  <sheetData>
    <row r="2" spans="1:12" x14ac:dyDescent="0.3">
      <c r="A2" s="6" t="s">
        <v>149</v>
      </c>
      <c r="B2" s="31"/>
      <c r="C2" s="32"/>
      <c r="D2" s="31"/>
      <c r="E2" s="31"/>
      <c r="F2" s="31"/>
    </row>
    <row r="3" spans="1:12" x14ac:dyDescent="0.3">
      <c r="A3" s="6"/>
      <c r="B3" s="33" t="s">
        <v>150</v>
      </c>
      <c r="C3" s="34" t="s">
        <v>151</v>
      </c>
      <c r="D3" s="33" t="s">
        <v>152</v>
      </c>
      <c r="E3" s="33" t="s">
        <v>153</v>
      </c>
      <c r="F3" s="33" t="s">
        <v>154</v>
      </c>
      <c r="K3" s="18" t="s">
        <v>155</v>
      </c>
      <c r="L3" s="18" t="s">
        <v>156</v>
      </c>
    </row>
    <row r="4" spans="1:12" x14ac:dyDescent="0.3">
      <c r="A4" s="6"/>
      <c r="B4" s="27"/>
      <c r="C4" s="35"/>
      <c r="D4" s="27"/>
      <c r="E4" s="27"/>
      <c r="F4" s="27"/>
      <c r="K4" s="28" t="s">
        <v>157</v>
      </c>
      <c r="L4" s="36">
        <v>1450000</v>
      </c>
    </row>
    <row r="5" spans="1:12" x14ac:dyDescent="0.3">
      <c r="A5" s="6"/>
      <c r="B5" s="27"/>
      <c r="C5" s="35"/>
      <c r="D5" s="27"/>
      <c r="E5" s="27"/>
      <c r="F5" s="27"/>
      <c r="K5" s="28" t="s">
        <v>158</v>
      </c>
      <c r="L5" s="36">
        <v>1200000</v>
      </c>
    </row>
    <row r="6" spans="1:12" x14ac:dyDescent="0.3">
      <c r="A6" s="6"/>
      <c r="B6" s="27"/>
      <c r="C6" s="35"/>
      <c r="D6" s="27"/>
      <c r="E6" s="27"/>
      <c r="F6" s="27"/>
      <c r="K6" s="28" t="s">
        <v>159</v>
      </c>
      <c r="L6" s="36">
        <v>850000</v>
      </c>
    </row>
    <row r="7" spans="1:12" x14ac:dyDescent="0.3">
      <c r="A7" s="6"/>
      <c r="B7" s="27"/>
      <c r="C7" s="35"/>
      <c r="D7" s="27"/>
      <c r="E7" s="27"/>
      <c r="F7" s="27"/>
      <c r="K7" s="28" t="s">
        <v>160</v>
      </c>
      <c r="L7" s="36">
        <v>250000</v>
      </c>
    </row>
    <row r="8" spans="1:12" x14ac:dyDescent="0.3">
      <c r="A8" s="6"/>
      <c r="B8" s="27"/>
      <c r="C8" s="35"/>
      <c r="D8" s="27"/>
      <c r="E8" s="27"/>
      <c r="F8" s="27"/>
      <c r="K8" s="28" t="s">
        <v>161</v>
      </c>
      <c r="L8" s="36">
        <v>2600000</v>
      </c>
    </row>
    <row r="9" spans="1:12" x14ac:dyDescent="0.3">
      <c r="A9" s="6"/>
      <c r="B9" s="27"/>
      <c r="C9" s="35"/>
      <c r="D9" s="27"/>
      <c r="E9" s="27"/>
      <c r="F9" s="27"/>
    </row>
    <row r="10" spans="1:12" x14ac:dyDescent="0.3">
      <c r="A10" s="6"/>
      <c r="B10" s="27"/>
      <c r="C10" s="35"/>
      <c r="D10" s="27"/>
      <c r="E10" s="27"/>
      <c r="F10" s="27"/>
    </row>
    <row r="11" spans="1:12" x14ac:dyDescent="0.3">
      <c r="A11" s="6"/>
      <c r="B11" s="27"/>
      <c r="C11" s="35"/>
      <c r="D11" s="27"/>
      <c r="E11" s="27"/>
      <c r="F11" s="27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렌탈입력">
          <controlPr defaultSize="0" autoLine="0" autoPict="0" r:id="rId4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7169" r:id="rId3" name="Cmd렌탈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8</vt:i4>
      </vt:variant>
      <vt:variant>
        <vt:lpstr>차트</vt:lpstr>
      </vt:variant>
      <vt:variant>
        <vt:i4>1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계산작업</vt:lpstr>
      <vt:lpstr>분석작업-1</vt:lpstr>
      <vt:lpstr>분석작업-2</vt:lpstr>
      <vt:lpstr>차트작업</vt:lpstr>
      <vt:lpstr>매크로</vt:lpstr>
      <vt:lpstr>렌탈입력</vt:lpstr>
      <vt:lpstr>Chart1</vt:lpstr>
      <vt:lpstr>'기본작업-1'!Criteria</vt:lpstr>
      <vt:lpstr>'기본작업-1'!Extract</vt:lpstr>
      <vt:lpstr>'기본작업-1'!MS_Access_Database_Query_1</vt:lpstr>
      <vt:lpstr>'기본작업-2'!MS_Access_Database_Query_1</vt:lpstr>
      <vt:lpstr>매크로!MS_Access_Database_Query_1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김지원</cp:lastModifiedBy>
  <dcterms:created xsi:type="dcterms:W3CDTF">2020-04-07T06:00:22Z</dcterms:created>
  <dcterms:modified xsi:type="dcterms:W3CDTF">2021-02-19T04:22:31Z</dcterms:modified>
</cp:coreProperties>
</file>