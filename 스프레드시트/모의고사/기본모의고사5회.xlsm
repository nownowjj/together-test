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2021컴활1급\스프레드시트\모의고사\"/>
    </mc:Choice>
  </mc:AlternateContent>
  <xr:revisionPtr revIDLastSave="0" documentId="13_ncr:1_{EB83FAE4-CEF5-40C1-831A-043E3E4B8ED2}" xr6:coauthVersionLast="46" xr6:coauthVersionMax="46" xr10:uidLastSave="{00000000-0000-0000-0000-000000000000}"/>
  <bookViews>
    <workbookView minimized="1" xWindow="4200" yWindow="960" windowWidth="21585" windowHeight="15240" tabRatio="890" activeTab="2" xr2:uid="{00000000-000D-0000-FFFF-FFFF00000000}"/>
  </bookViews>
  <sheets>
    <sheet name="기본작업1" sheetId="2" r:id="rId1"/>
    <sheet name="기본작업2" sheetId="8" r:id="rId2"/>
    <sheet name="계산작업" sheetId="3" r:id="rId3"/>
    <sheet name="분석작업1" sheetId="10" r:id="rId4"/>
    <sheet name="분석작업2" sheetId="11" r:id="rId5"/>
    <sheet name="기타작업1" sheetId="6" r:id="rId6"/>
    <sheet name="기타작업2" sheetId="9" r:id="rId7"/>
    <sheet name="기타작업3" sheetId="7" r:id="rId8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9" l="1"/>
  <c r="F8" i="9"/>
  <c r="F9" i="9"/>
  <c r="F10" i="9"/>
  <c r="F11" i="9"/>
  <c r="F12" i="9"/>
  <c r="F13" i="9"/>
  <c r="F14" i="9"/>
  <c r="F15" i="9"/>
  <c r="F16" i="9"/>
  <c r="F17" i="9"/>
  <c r="F7" i="9"/>
  <c r="I25" i="8" l="1"/>
  <c r="K25" i="8" s="1"/>
  <c r="I24" i="8"/>
  <c r="K24" i="8" s="1"/>
  <c r="I23" i="8"/>
  <c r="K23" i="8" s="1"/>
  <c r="I22" i="8"/>
  <c r="K22" i="8" s="1"/>
  <c r="I21" i="8"/>
  <c r="K21" i="8" s="1"/>
  <c r="I20" i="8"/>
  <c r="K20" i="8" s="1"/>
  <c r="I19" i="8"/>
  <c r="K19" i="8" s="1"/>
  <c r="I18" i="8"/>
  <c r="K18" i="8" s="1"/>
  <c r="I17" i="8"/>
  <c r="K17" i="8" s="1"/>
  <c r="I16" i="8"/>
  <c r="K16" i="8" s="1"/>
  <c r="I15" i="8"/>
  <c r="K15" i="8" s="1"/>
  <c r="I14" i="8"/>
  <c r="K14" i="8" s="1"/>
  <c r="I13" i="8"/>
  <c r="K13" i="8" s="1"/>
  <c r="I12" i="8"/>
  <c r="K12" i="8" s="1"/>
  <c r="I11" i="8"/>
  <c r="K11" i="8" s="1"/>
  <c r="I10" i="8"/>
  <c r="K10" i="8" s="1"/>
  <c r="I9" i="8"/>
  <c r="K9" i="8" s="1"/>
  <c r="I8" i="8"/>
  <c r="K8" i="8" s="1"/>
  <c r="I7" i="8"/>
  <c r="K7" i="8" s="1"/>
  <c r="I6" i="8"/>
  <c r="K6" i="8" s="1"/>
  <c r="I5" i="8"/>
  <c r="K5" i="8" s="1"/>
  <c r="I4" i="8"/>
  <c r="K4" i="8" s="1"/>
  <c r="I3" i="8"/>
  <c r="K3" i="8" s="1"/>
  <c r="H24" i="2" l="1"/>
  <c r="J24" i="2" s="1"/>
  <c r="H23" i="2"/>
  <c r="J23" i="2" s="1"/>
  <c r="H22" i="2"/>
  <c r="J22" i="2" s="1"/>
  <c r="H21" i="2"/>
  <c r="J21" i="2" s="1"/>
  <c r="H20" i="2"/>
  <c r="J20" i="2" s="1"/>
  <c r="H19" i="2"/>
  <c r="J19" i="2" s="1"/>
  <c r="H18" i="2"/>
  <c r="J18" i="2" s="1"/>
  <c r="H17" i="2"/>
  <c r="J17" i="2" s="1"/>
  <c r="H16" i="2"/>
  <c r="J16" i="2" s="1"/>
  <c r="H15" i="2"/>
  <c r="J15" i="2" s="1"/>
  <c r="H14" i="2"/>
  <c r="J14" i="2" s="1"/>
  <c r="H13" i="2"/>
  <c r="J13" i="2" s="1"/>
  <c r="H12" i="2"/>
  <c r="J12" i="2" s="1"/>
  <c r="H11" i="2"/>
  <c r="J11" i="2" s="1"/>
  <c r="H10" i="2"/>
  <c r="J10" i="2" s="1"/>
  <c r="H9" i="2"/>
  <c r="J9" i="2" s="1"/>
  <c r="H8" i="2"/>
  <c r="J8" i="2" s="1"/>
  <c r="H7" i="2"/>
  <c r="J7" i="2" s="1"/>
  <c r="H6" i="2"/>
  <c r="J6" i="2" s="1"/>
  <c r="H5" i="2"/>
  <c r="J5" i="2" s="1"/>
  <c r="H4" i="2"/>
  <c r="J4" i="2" s="1"/>
  <c r="H3" i="2"/>
  <c r="J3" i="2" s="1"/>
  <c r="H2" i="2"/>
  <c r="J2" i="2" s="1"/>
</calcChain>
</file>

<file path=xl/sharedStrings.xml><?xml version="1.0" encoding="utf-8"?>
<sst xmlns="http://schemas.openxmlformats.org/spreadsheetml/2006/main" count="375" uniqueCount="174">
  <si>
    <t>제품코드</t>
    <phoneticPr fontId="3" type="noConversion"/>
  </si>
  <si>
    <t>회사명</t>
    <phoneticPr fontId="3" type="noConversion"/>
  </si>
  <si>
    <t>자전거명</t>
    <phoneticPr fontId="3" type="noConversion"/>
  </si>
  <si>
    <t>입고일자</t>
  </si>
  <si>
    <t>판매일자</t>
  </si>
  <si>
    <t>단가</t>
  </si>
  <si>
    <t>수량</t>
  </si>
  <si>
    <t>매출액</t>
  </si>
  <si>
    <t>이익율</t>
  </si>
  <si>
    <t>이익금</t>
  </si>
  <si>
    <t>K-04</t>
  </si>
  <si>
    <t>코렉스</t>
    <phoneticPr fontId="3" type="noConversion"/>
  </si>
  <si>
    <t>엘로우콘</t>
    <phoneticPr fontId="3" type="noConversion"/>
  </si>
  <si>
    <t>K-01</t>
  </si>
  <si>
    <t>삼천리</t>
    <phoneticPr fontId="3" type="noConversion"/>
  </si>
  <si>
    <t>스파크</t>
    <phoneticPr fontId="3" type="noConversion"/>
  </si>
  <si>
    <t>K-02</t>
  </si>
  <si>
    <t>하운드</t>
    <phoneticPr fontId="3" type="noConversion"/>
  </si>
  <si>
    <t>K-07</t>
  </si>
  <si>
    <t>삼천리</t>
    <phoneticPr fontId="3" type="noConversion"/>
  </si>
  <si>
    <t>하로</t>
    <phoneticPr fontId="3" type="noConversion"/>
  </si>
  <si>
    <t>하운드700</t>
    <phoneticPr fontId="3" type="noConversion"/>
  </si>
  <si>
    <t>K-03</t>
  </si>
  <si>
    <t>포인트</t>
    <phoneticPr fontId="3" type="noConversion"/>
  </si>
  <si>
    <t>참좋은레저</t>
    <phoneticPr fontId="3" type="noConversion"/>
  </si>
  <si>
    <t>스파크DX</t>
    <phoneticPr fontId="3" type="noConversion"/>
  </si>
  <si>
    <t>접이식</t>
    <phoneticPr fontId="3" type="noConversion"/>
  </si>
  <si>
    <t>붐붐</t>
    <phoneticPr fontId="3" type="noConversion"/>
  </si>
  <si>
    <t>아이콘</t>
    <phoneticPr fontId="3" type="noConversion"/>
  </si>
  <si>
    <t>아이콘</t>
    <phoneticPr fontId="3" type="noConversion"/>
  </si>
  <si>
    <t>환타지아</t>
    <phoneticPr fontId="3" type="noConversion"/>
  </si>
  <si>
    <t>블랙캣</t>
    <phoneticPr fontId="3" type="noConversion"/>
  </si>
  <si>
    <t>임펙트</t>
    <phoneticPr fontId="3" type="noConversion"/>
  </si>
  <si>
    <t>르보아</t>
    <phoneticPr fontId="3" type="noConversion"/>
  </si>
  <si>
    <t>트로이</t>
    <phoneticPr fontId="3" type="noConversion"/>
  </si>
  <si>
    <t>인피자</t>
    <phoneticPr fontId="3" type="noConversion"/>
  </si>
  <si>
    <t>그린머신</t>
    <phoneticPr fontId="3" type="noConversion"/>
  </si>
  <si>
    <t>골드DX</t>
    <phoneticPr fontId="3" type="noConversion"/>
  </si>
  <si>
    <t>레온</t>
    <phoneticPr fontId="3" type="noConversion"/>
  </si>
  <si>
    <t>메리다</t>
    <phoneticPr fontId="3" type="noConversion"/>
  </si>
  <si>
    <t>Z-03</t>
  </si>
  <si>
    <t>FG-120</t>
    <phoneticPr fontId="3" type="noConversion"/>
  </si>
  <si>
    <t>Z-04</t>
  </si>
  <si>
    <t>포르테</t>
    <phoneticPr fontId="3" type="noConversion"/>
  </si>
  <si>
    <t>상품코드</t>
    <phoneticPr fontId="3" type="noConversion"/>
  </si>
  <si>
    <t>자전거명</t>
    <phoneticPr fontId="3" type="noConversion"/>
  </si>
  <si>
    <t>회사명</t>
    <phoneticPr fontId="3" type="noConversion"/>
  </si>
  <si>
    <t>매출액</t>
    <phoneticPr fontId="3" type="noConversion"/>
  </si>
  <si>
    <t>이익금</t>
    <phoneticPr fontId="3" type="noConversion"/>
  </si>
  <si>
    <t>비고</t>
    <phoneticPr fontId="3" type="noConversion"/>
  </si>
  <si>
    <t>[표1] 자전거별 단가</t>
    <phoneticPr fontId="3" type="noConversion"/>
  </si>
  <si>
    <t>하운드</t>
    <phoneticPr fontId="3" type="noConversion"/>
  </si>
  <si>
    <t>자전거명</t>
    <phoneticPr fontId="3" type="noConversion"/>
  </si>
  <si>
    <t>단가</t>
    <phoneticPr fontId="3" type="noConversion"/>
  </si>
  <si>
    <t>엘로우콘</t>
    <phoneticPr fontId="3" type="noConversion"/>
  </si>
  <si>
    <t>코렉스</t>
    <phoneticPr fontId="8" type="noConversion"/>
  </si>
  <si>
    <t>스파크</t>
    <phoneticPr fontId="3" type="noConversion"/>
  </si>
  <si>
    <t>참좋은레저</t>
    <phoneticPr fontId="3" type="noConversion"/>
  </si>
  <si>
    <t>스파크</t>
    <phoneticPr fontId="3" type="noConversion"/>
  </si>
  <si>
    <t>하로</t>
    <phoneticPr fontId="3" type="noConversion"/>
  </si>
  <si>
    <t>Z-07</t>
  </si>
  <si>
    <t>삼천리</t>
    <phoneticPr fontId="3" type="noConversion"/>
  </si>
  <si>
    <t>하로</t>
    <phoneticPr fontId="3" type="noConversion"/>
  </si>
  <si>
    <t>Z-08</t>
  </si>
  <si>
    <t>하운드</t>
    <phoneticPr fontId="3" type="noConversion"/>
  </si>
  <si>
    <t>하운드700</t>
    <phoneticPr fontId="3" type="noConversion"/>
  </si>
  <si>
    <t>포인트</t>
    <phoneticPr fontId="3" type="noConversion"/>
  </si>
  <si>
    <t>18세</t>
  </si>
  <si>
    <t>스파크DX</t>
    <phoneticPr fontId="3" type="noConversion"/>
  </si>
  <si>
    <t>코렉스</t>
    <phoneticPr fontId="8" type="noConversion"/>
  </si>
  <si>
    <t>[표2] 6~7월 수량평균</t>
    <phoneticPr fontId="3" type="noConversion"/>
  </si>
  <si>
    <t>6~7월</t>
    <phoneticPr fontId="3" type="noConversion"/>
  </si>
  <si>
    <t>Z-01</t>
  </si>
  <si>
    <t>엘로우콘</t>
    <phoneticPr fontId="3" type="noConversion"/>
  </si>
  <si>
    <t>하운드700</t>
    <phoneticPr fontId="3" type="noConversion"/>
  </si>
  <si>
    <t>[표3] 자전거명별 회사별 건수</t>
    <phoneticPr fontId="3" type="noConversion"/>
  </si>
  <si>
    <t>코렉스</t>
    <phoneticPr fontId="3" type="noConversion"/>
  </si>
  <si>
    <t>엘로우콘</t>
  </si>
  <si>
    <t>스파크</t>
  </si>
  <si>
    <t>하운드</t>
  </si>
  <si>
    <t>하로</t>
  </si>
  <si>
    <t>하운드700</t>
  </si>
  <si>
    <t>포인트</t>
  </si>
  <si>
    <t>스파크DX</t>
  </si>
  <si>
    <t>접이식</t>
  </si>
  <si>
    <t>붐붐</t>
  </si>
  <si>
    <t>아이콘</t>
  </si>
  <si>
    <t>환타지아</t>
  </si>
  <si>
    <t>블랙캣</t>
  </si>
  <si>
    <t>임펙트</t>
  </si>
  <si>
    <t>르보아</t>
  </si>
  <si>
    <t>트로이</t>
  </si>
  <si>
    <t>인피자</t>
  </si>
  <si>
    <t>그린머신</t>
  </si>
  <si>
    <t>골드DX</t>
  </si>
  <si>
    <t>레온</t>
  </si>
  <si>
    <t>메리다</t>
  </si>
  <si>
    <t>FG-120</t>
  </si>
  <si>
    <t>포르테</t>
  </si>
  <si>
    <t>크롤버</t>
  </si>
  <si>
    <t>미니GS</t>
  </si>
  <si>
    <t>싸이런스</t>
  </si>
  <si>
    <t>토비</t>
  </si>
  <si>
    <t>보헤미안</t>
  </si>
  <si>
    <t>레츠고</t>
  </si>
  <si>
    <t>비바체</t>
  </si>
  <si>
    <t>스타일</t>
  </si>
  <si>
    <t>사브</t>
  </si>
  <si>
    <t>레이오</t>
  </si>
  <si>
    <t>시보레</t>
  </si>
  <si>
    <t>스피드라인</t>
  </si>
  <si>
    <t>미라지</t>
  </si>
  <si>
    <t>피크닉</t>
  </si>
  <si>
    <t>스트로베리</t>
  </si>
  <si>
    <t>관광지방문객보고통계</t>
  </si>
  <si>
    <t>지역별</t>
  </si>
  <si>
    <t>무료방문객수</t>
    <phoneticPr fontId="3" type="noConversion"/>
  </si>
  <si>
    <t>유료내국인방문객수</t>
    <phoneticPr fontId="3" type="noConversion"/>
  </si>
  <si>
    <t>총방문객수</t>
    <phoneticPr fontId="3" type="noConversion"/>
  </si>
  <si>
    <t>전라북도</t>
  </si>
  <si>
    <t>경상북도</t>
  </si>
  <si>
    <t>경상남도</t>
  </si>
  <si>
    <t>충청북도</t>
  </si>
  <si>
    <t>충청남도</t>
  </si>
  <si>
    <t>자전거판매대장</t>
    <phoneticPr fontId="3" type="noConversion"/>
  </si>
  <si>
    <t>회사명</t>
    <phoneticPr fontId="3" type="noConversion"/>
  </si>
  <si>
    <t>판매액</t>
    <phoneticPr fontId="3" type="noConversion"/>
  </si>
  <si>
    <t>구분</t>
    <phoneticPr fontId="3" type="noConversion"/>
  </si>
  <si>
    <t>할인액</t>
    <phoneticPr fontId="3" type="noConversion"/>
  </si>
  <si>
    <t>자전거명</t>
    <phoneticPr fontId="3" type="noConversion"/>
  </si>
  <si>
    <t>자전거명</t>
    <phoneticPr fontId="1" type="noConversion"/>
  </si>
  <si>
    <t>[표1]</t>
    <phoneticPr fontId="1" type="noConversion"/>
  </si>
  <si>
    <t>종목명</t>
    <phoneticPr fontId="1" type="noConversion"/>
  </si>
  <si>
    <t>보유량</t>
    <phoneticPr fontId="1" type="noConversion"/>
  </si>
  <si>
    <t>매입가</t>
    <phoneticPr fontId="1" type="noConversion"/>
  </si>
  <si>
    <t>현재가</t>
    <phoneticPr fontId="3" type="noConversion"/>
  </si>
  <si>
    <t>수익률(%)</t>
    <phoneticPr fontId="1" type="noConversion"/>
  </si>
  <si>
    <t>SK하이닉스</t>
    <phoneticPr fontId="1" type="noConversion"/>
  </si>
  <si>
    <t>현대차</t>
    <phoneticPr fontId="1" type="noConversion"/>
  </si>
  <si>
    <t>호텔신라</t>
    <phoneticPr fontId="1" type="noConversion"/>
  </si>
  <si>
    <t>삼성전기</t>
    <phoneticPr fontId="1" type="noConversion"/>
  </si>
  <si>
    <t>삼성SDI</t>
    <phoneticPr fontId="1" type="noConversion"/>
  </si>
  <si>
    <t>NAVER</t>
    <phoneticPr fontId="1" type="noConversion"/>
  </si>
  <si>
    <t>카카오</t>
    <phoneticPr fontId="1" type="noConversion"/>
  </si>
  <si>
    <t>LG전자</t>
    <phoneticPr fontId="1" type="noConversion"/>
  </si>
  <si>
    <t>셀트리온</t>
    <phoneticPr fontId="1" type="noConversion"/>
  </si>
  <si>
    <t>삼성전자</t>
    <phoneticPr fontId="1" type="noConversion"/>
  </si>
  <si>
    <t>일양약품</t>
    <phoneticPr fontId="1" type="noConversion"/>
  </si>
  <si>
    <t>1.1 고급필터</t>
    <phoneticPr fontId="1" type="noConversion"/>
  </si>
  <si>
    <t>매출액이 최대이거나 최소인 자료</t>
    <phoneticPr fontId="1" type="noConversion"/>
  </si>
  <si>
    <t xml:space="preserve"> 조건 : A26:A27 / 결과 : A30</t>
    <phoneticPr fontId="1" type="noConversion"/>
  </si>
  <si>
    <t xml:space="preserve"> [OR, LARGE, SMALL]</t>
    <phoneticPr fontId="1" type="noConversion"/>
  </si>
  <si>
    <t>1.2 조건부서식</t>
    <phoneticPr fontId="1" type="noConversion"/>
  </si>
  <si>
    <t xml:space="preserve"> 이익율이 20% 초과하거나 이익금이 500,000 이상</t>
    <phoneticPr fontId="1" type="noConversion"/>
  </si>
  <si>
    <t xml:space="preserve"> 글꼴 스타일을 '기울임꼴', 글꼴 색 '표준 색 - 파랑'</t>
    <phoneticPr fontId="1" type="noConversion"/>
  </si>
  <si>
    <t>① 자전거별 단가와 수량을 이용하여 매출액을 구하시오. 매출액 = 수량 ×단가 [VLOOKUP]</t>
    <phoneticPr fontId="1" type="noConversion"/>
  </si>
  <si>
    <t>② 판매일자와 매출액을 이용하여 이익금을 구하시오</t>
    <phoneticPr fontId="1" type="noConversion"/>
  </si>
  <si>
    <t xml:space="preserve">    판매일자가 4월 이전은 이익금 = 매출액×20%, 그 외는 이익금=매출액×30% [IF, MONTH]</t>
    <phoneticPr fontId="1" type="noConversion"/>
  </si>
  <si>
    <t>⑤ 수량이 30 이상이면 '단체구매', 5 미만이면 '개인구매', 그 외에는 공백</t>
    <phoneticPr fontId="1" type="noConversion"/>
  </si>
  <si>
    <t>&lt;자전거매장관리.accdb&gt;의 &lt;자전거매장관리&gt;</t>
    <phoneticPr fontId="1" type="noConversion"/>
  </si>
  <si>
    <t>판매일자, 매출액, 자전거명, 단가, 이익금, B4</t>
    <phoneticPr fontId="1" type="noConversion"/>
  </si>
  <si>
    <t>① 총방문객수 계열은 제거하고 유료내국인방문객수 계열은 보조 축으로 설정하시오.</t>
    <phoneticPr fontId="1" type="noConversion"/>
  </si>
  <si>
    <t>② 보조 세로(값) 축 눈금은 최소값 0, 주단위 100000으로 설정하시오.</t>
    <phoneticPr fontId="1" type="noConversion"/>
  </si>
  <si>
    <t>③ 범례 서식은 &lt;그림&gt;을 참조하여 설정하시오.</t>
    <phoneticPr fontId="1" type="noConversion"/>
  </si>
  <si>
    <t>④ 차트 제목은 지역별 방문객 보고로 설정하고 글꼴은 돋움 크기는 16 굵게로 설정하시오.</t>
    <phoneticPr fontId="1" type="noConversion"/>
  </si>
  <si>
    <t>⑤ 전체 데이터 계열에 대해 데이터 레이블 값 표시로 설정하고 그림 영역은 색 채우기 없음으로 설정하시오.</t>
    <phoneticPr fontId="1" type="noConversion"/>
  </si>
  <si>
    <t>IF</t>
    <phoneticPr fontId="1" type="noConversion"/>
  </si>
  <si>
    <t>종목명</t>
    <phoneticPr fontId="1" type="noConversion"/>
  </si>
  <si>
    <t>보유 주식수</t>
    <phoneticPr fontId="1" type="noConversion"/>
  </si>
  <si>
    <t xml:space="preserve">평균 매수가 </t>
    <phoneticPr fontId="1" type="noConversion"/>
  </si>
  <si>
    <t xml:space="preserve">현재가 </t>
    <phoneticPr fontId="1" type="noConversion"/>
  </si>
  <si>
    <t>수익률</t>
    <phoneticPr fontId="1" type="noConversion"/>
  </si>
  <si>
    <t>총 이익 단가</t>
    <phoneticPr fontId="1" type="noConversion"/>
  </si>
  <si>
    <t xml:space="preserve">삼성전자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</si>
</sst>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43" formatCode="_-* #,##0.00_-;\-* #,##0.00_-;_-* &quot;-&quot;??_-;_-@_-"/>
    <numFmt numFmtId="176" formatCode="#&quot;월&quot;"/>
  </numFmts>
  <fonts count="2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체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4"/>
      <color indexed="56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4"/>
      <color indexed="9"/>
      <name val="맑은 고딕"/>
      <family val="3"/>
      <charset val="129"/>
      <scheme val="minor"/>
    </font>
    <font>
      <sz val="10"/>
      <name val="Arial"/>
      <family val="2"/>
    </font>
    <font>
      <b/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rgb="FF0070C0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10" fillId="0" borderId="0">
      <alignment vertical="center"/>
    </xf>
    <xf numFmtId="0" fontId="14" fillId="0" borderId="0"/>
  </cellStyleXfs>
  <cellXfs count="59">
    <xf numFmtId="0" fontId="0" fillId="0" borderId="0" xfId="0">
      <alignment vertical="center"/>
    </xf>
    <xf numFmtId="0" fontId="5" fillId="0" borderId="1" xfId="3" applyFont="1" applyFill="1" applyBorder="1" applyAlignment="1">
      <alignment horizontal="center" vertical="center"/>
    </xf>
    <xf numFmtId="14" fontId="5" fillId="0" borderId="1" xfId="3" applyNumberFormat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horizontal="center" vertical="center"/>
    </xf>
    <xf numFmtId="0" fontId="5" fillId="0" borderId="1" xfId="3" applyFont="1" applyFill="1" applyBorder="1" applyAlignment="1">
      <alignment horizontal="center" vertical="center" wrapText="1"/>
    </xf>
    <xf numFmtId="14" fontId="5" fillId="0" borderId="1" xfId="3" applyNumberFormat="1" applyFont="1" applyFill="1" applyBorder="1" applyAlignment="1">
      <alignment horizontal="center" vertical="center" wrapText="1"/>
    </xf>
    <xf numFmtId="41" fontId="5" fillId="0" borderId="1" xfId="1" applyFont="1" applyFill="1" applyBorder="1" applyAlignment="1">
      <alignment horizontal="center" vertical="center" wrapText="1"/>
    </xf>
    <xf numFmtId="9" fontId="5" fillId="0" borderId="1" xfId="2" applyFont="1" applyFill="1" applyBorder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7" fillId="0" borderId="1" xfId="0" applyNumberFormat="1" applyFont="1" applyBorder="1" applyAlignment="1">
      <alignment horizontal="center" vertical="center"/>
    </xf>
    <xf numFmtId="0" fontId="7" fillId="0" borderId="1" xfId="0" quotePrefix="1" applyNumberFormat="1" applyFont="1" applyBorder="1" applyAlignment="1">
      <alignment horizontal="center" vertical="center"/>
    </xf>
    <xf numFmtId="0" fontId="7" fillId="2" borderId="1" xfId="0" applyNumberFormat="1" applyFont="1" applyFill="1" applyBorder="1" applyAlignment="1">
      <alignment horizontal="center" vertical="center"/>
    </xf>
    <xf numFmtId="0" fontId="6" fillId="0" borderId="2" xfId="0" applyFont="1" applyBorder="1" applyAlignment="1">
      <alignment horizontal="left" vertical="center"/>
    </xf>
    <xf numFmtId="0" fontId="6" fillId="0" borderId="1" xfId="0" applyNumberFormat="1" applyFont="1" applyBorder="1" applyAlignment="1">
      <alignment horizontal="center" vertical="center"/>
    </xf>
    <xf numFmtId="14" fontId="6" fillId="0" borderId="1" xfId="0" applyNumberFormat="1" applyFont="1" applyBorder="1" applyAlignment="1">
      <alignment horizontal="center" vertical="center"/>
    </xf>
    <xf numFmtId="41" fontId="6" fillId="0" borderId="1" xfId="1" applyFont="1" applyBorder="1" applyAlignment="1">
      <alignment vertical="center"/>
    </xf>
    <xf numFmtId="41" fontId="6" fillId="0" borderId="1" xfId="1" quotePrefix="1" applyFont="1" applyBorder="1" applyAlignment="1">
      <alignment horizontal="center" vertical="center"/>
    </xf>
    <xf numFmtId="41" fontId="6" fillId="0" borderId="1" xfId="1" applyFont="1" applyBorder="1" applyAlignment="1">
      <alignment horizontal="center" vertical="center"/>
    </xf>
    <xf numFmtId="0" fontId="6" fillId="0" borderId="1" xfId="0" quotePrefix="1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1" xfId="3" applyFont="1" applyFill="1" applyBorder="1" applyAlignment="1">
      <alignment vertical="center" wrapText="1"/>
    </xf>
    <xf numFmtId="0" fontId="6" fillId="0" borderId="0" xfId="0" applyNumberFormat="1" applyFont="1" applyBorder="1" applyAlignment="1">
      <alignment vertical="center"/>
    </xf>
    <xf numFmtId="41" fontId="6" fillId="0" borderId="0" xfId="1" applyFont="1" applyBorder="1" applyAlignment="1">
      <alignment vertical="center"/>
    </xf>
    <xf numFmtId="176" fontId="7" fillId="2" borderId="1" xfId="0" applyNumberFormat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6" fillId="0" borderId="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6" fillId="0" borderId="1" xfId="0" applyFont="1" applyFill="1" applyBorder="1" applyAlignment="1">
      <alignment horizontal="center" vertical="center"/>
    </xf>
    <xf numFmtId="14" fontId="6" fillId="0" borderId="1" xfId="0" applyNumberFormat="1" applyFont="1" applyFill="1" applyBorder="1" applyAlignment="1">
      <alignment horizontal="center" vertical="center"/>
    </xf>
    <xf numFmtId="41" fontId="6" fillId="0" borderId="1" xfId="1" applyFont="1" applyFill="1" applyBorder="1" applyAlignment="1">
      <alignment horizontal="center" vertical="center"/>
    </xf>
    <xf numFmtId="9" fontId="6" fillId="0" borderId="1" xfId="2" applyFont="1" applyFill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41" fontId="9" fillId="0" borderId="1" xfId="1" applyFont="1" applyBorder="1" applyAlignment="1">
      <alignment vertical="center"/>
    </xf>
    <xf numFmtId="41" fontId="9" fillId="0" borderId="1" xfId="1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9" fillId="0" borderId="1" xfId="0" applyNumberFormat="1" applyFont="1" applyBorder="1" applyAlignment="1">
      <alignment vertical="center"/>
    </xf>
    <xf numFmtId="0" fontId="9" fillId="0" borderId="1" xfId="0" applyNumberFormat="1" applyFont="1" applyFill="1" applyBorder="1" applyAlignment="1">
      <alignment vertical="center"/>
    </xf>
    <xf numFmtId="0" fontId="9" fillId="0" borderId="1" xfId="0" quotePrefix="1" applyNumberFormat="1" applyFont="1" applyBorder="1" applyAlignment="1">
      <alignment vertical="center"/>
    </xf>
    <xf numFmtId="0" fontId="9" fillId="0" borderId="0" xfId="0" applyFont="1">
      <alignment vertical="center"/>
    </xf>
    <xf numFmtId="0" fontId="7" fillId="0" borderId="1" xfId="5" applyFont="1" applyBorder="1" applyAlignment="1">
      <alignment horizontal="center" vertical="center"/>
    </xf>
    <xf numFmtId="0" fontId="15" fillId="0" borderId="1" xfId="5" applyFont="1" applyBorder="1" applyAlignment="1">
      <alignment horizontal="center" vertical="center" wrapText="1"/>
    </xf>
    <xf numFmtId="0" fontId="6" fillId="0" borderId="1" xfId="5" applyFont="1" applyBorder="1" applyAlignment="1">
      <alignment horizontal="center" vertical="center"/>
    </xf>
    <xf numFmtId="0" fontId="16" fillId="0" borderId="1" xfId="5" applyFont="1" applyBorder="1" applyAlignment="1">
      <alignment horizontal="center" wrapText="1"/>
    </xf>
    <xf numFmtId="41" fontId="15" fillId="0" borderId="1" xfId="1" applyFont="1" applyBorder="1" applyAlignment="1">
      <alignment horizontal="center" vertical="center" wrapText="1"/>
    </xf>
    <xf numFmtId="41" fontId="16" fillId="0" borderId="1" xfId="1" applyFont="1" applyBorder="1" applyAlignment="1">
      <alignment horizontal="center" wrapText="1"/>
    </xf>
    <xf numFmtId="41" fontId="9" fillId="0" borderId="0" xfId="1" applyFont="1">
      <alignment vertical="center"/>
    </xf>
    <xf numFmtId="43" fontId="16" fillId="0" borderId="1" xfId="5" applyNumberFormat="1" applyFont="1" applyBorder="1" applyAlignment="1">
      <alignment horizontal="center" wrapText="1"/>
    </xf>
    <xf numFmtId="0" fontId="17" fillId="0" borderId="0" xfId="5" applyFont="1"/>
    <xf numFmtId="0" fontId="18" fillId="0" borderId="0" xfId="0" applyFont="1">
      <alignment vertical="center"/>
    </xf>
    <xf numFmtId="0" fontId="18" fillId="0" borderId="0" xfId="3" applyFont="1" applyFill="1" applyBorder="1" applyAlignment="1">
      <alignment horizontal="left" vertical="center"/>
    </xf>
    <xf numFmtId="0" fontId="18" fillId="0" borderId="0" xfId="0" applyFont="1" applyAlignment="1">
      <alignment vertical="center"/>
    </xf>
    <xf numFmtId="0" fontId="19" fillId="0" borderId="0" xfId="0" applyFont="1">
      <alignment vertical="center"/>
    </xf>
    <xf numFmtId="0" fontId="20" fillId="0" borderId="0" xfId="0" applyFont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49" fontId="11" fillId="0" borderId="0" xfId="4" applyNumberFormat="1" applyFont="1" applyFill="1" applyAlignment="1">
      <alignment horizontal="center" vertical="center" wrapText="1"/>
    </xf>
    <xf numFmtId="0" fontId="13" fillId="3" borderId="0" xfId="0" applyFont="1" applyFill="1" applyAlignment="1">
      <alignment horizontal="center" vertical="center"/>
    </xf>
    <xf numFmtId="41" fontId="5" fillId="0" borderId="1" xfId="1" applyFont="1" applyFill="1" applyBorder="1" applyAlignment="1">
      <alignment vertical="center" wrapText="1"/>
    </xf>
    <xf numFmtId="41" fontId="9" fillId="0" borderId="0" xfId="0" applyNumberFormat="1" applyFont="1">
      <alignment vertical="center"/>
    </xf>
  </cellXfs>
  <cellStyles count="6">
    <cellStyle name="백분율" xfId="2" builtinId="5"/>
    <cellStyle name="쉼표 [0]" xfId="1" builtinId="6"/>
    <cellStyle name="표준" xfId="0" builtinId="0"/>
    <cellStyle name="표준 2" xfId="5" xr:uid="{00000000-0005-0000-0000-000003000000}"/>
    <cellStyle name="표준_Sheet1" xfId="3" xr:uid="{00000000-0005-0000-0000-000004000000}"/>
    <cellStyle name="표준_기타작업1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기타작업1!$B$3</c:f>
              <c:strCache>
                <c:ptCount val="1"/>
                <c:pt idx="0">
                  <c:v> 무료방문객수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기타작업1!$A$4:$A$8</c:f>
              <c:strCache>
                <c:ptCount val="5"/>
                <c:pt idx="0">
                  <c:v> 전라북도 </c:v>
                </c:pt>
                <c:pt idx="1">
                  <c:v> 경상북도 </c:v>
                </c:pt>
                <c:pt idx="2">
                  <c:v> 경상남도 </c:v>
                </c:pt>
                <c:pt idx="3">
                  <c:v> 충청북도 </c:v>
                </c:pt>
                <c:pt idx="4">
                  <c:v> 충청남도 </c:v>
                </c:pt>
              </c:strCache>
            </c:strRef>
          </c:cat>
          <c:val>
            <c:numRef>
              <c:f>기타작업1!$B$4:$B$8</c:f>
              <c:numCache>
                <c:formatCode>_(* #,##0_);_(* \(#,##0\);_(* "-"_);_(@_)</c:formatCode>
                <c:ptCount val="5"/>
                <c:pt idx="0">
                  <c:v>37200</c:v>
                </c:pt>
                <c:pt idx="1">
                  <c:v>332601</c:v>
                </c:pt>
                <c:pt idx="2">
                  <c:v>202235</c:v>
                </c:pt>
                <c:pt idx="3">
                  <c:v>733539</c:v>
                </c:pt>
                <c:pt idx="4">
                  <c:v>209384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0D-4815-BFDF-600A93771042}"/>
            </c:ext>
          </c:extLst>
        </c:ser>
        <c:ser>
          <c:idx val="1"/>
          <c:order val="1"/>
          <c:tx>
            <c:strRef>
              <c:f>기타작업1!$C$3</c:f>
              <c:strCache>
                <c:ptCount val="1"/>
                <c:pt idx="0">
                  <c:v> 유료내국인방문객수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기타작업1!$A$4:$A$8</c:f>
              <c:strCache>
                <c:ptCount val="5"/>
                <c:pt idx="0">
                  <c:v> 전라북도 </c:v>
                </c:pt>
                <c:pt idx="1">
                  <c:v> 경상북도 </c:v>
                </c:pt>
                <c:pt idx="2">
                  <c:v> 경상남도 </c:v>
                </c:pt>
                <c:pt idx="3">
                  <c:v> 충청북도 </c:v>
                </c:pt>
                <c:pt idx="4">
                  <c:v> 충청남도 </c:v>
                </c:pt>
              </c:strCache>
            </c:strRef>
          </c:cat>
          <c:val>
            <c:numRef>
              <c:f>기타작업1!$C$4:$C$8</c:f>
              <c:numCache>
                <c:formatCode>_(* #,##0_);_(* \(#,##0\);_(* "-"_);_(@_)</c:formatCode>
                <c:ptCount val="5"/>
                <c:pt idx="0">
                  <c:v>33145</c:v>
                </c:pt>
                <c:pt idx="1">
                  <c:v>78432</c:v>
                </c:pt>
                <c:pt idx="2">
                  <c:v>104205</c:v>
                </c:pt>
                <c:pt idx="3">
                  <c:v>115372</c:v>
                </c:pt>
                <c:pt idx="4">
                  <c:v>257351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0D-4815-BFDF-600A93771042}"/>
            </c:ext>
          </c:extLst>
        </c:ser>
        <c:ser>
          <c:idx val="2"/>
          <c:order val="2"/>
          <c:tx>
            <c:strRef>
              <c:f>기타작업1!$D$3</c:f>
              <c:strCache>
                <c:ptCount val="1"/>
                <c:pt idx="0">
                  <c:v> 총방문객수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기타작업1!$A$4:$A$8</c:f>
              <c:strCache>
                <c:ptCount val="5"/>
                <c:pt idx="0">
                  <c:v> 전라북도 </c:v>
                </c:pt>
                <c:pt idx="1">
                  <c:v> 경상북도 </c:v>
                </c:pt>
                <c:pt idx="2">
                  <c:v> 경상남도 </c:v>
                </c:pt>
                <c:pt idx="3">
                  <c:v> 충청북도 </c:v>
                </c:pt>
                <c:pt idx="4">
                  <c:v> 충청남도 </c:v>
                </c:pt>
              </c:strCache>
            </c:strRef>
          </c:cat>
          <c:val>
            <c:numRef>
              <c:f>기타작업1!$D$4:$D$8</c:f>
              <c:numCache>
                <c:formatCode>_(* #,##0_);_(* \(#,##0\);_(* "-"_);_(@_)</c:formatCode>
                <c:ptCount val="5"/>
                <c:pt idx="0">
                  <c:v>71766</c:v>
                </c:pt>
                <c:pt idx="1">
                  <c:v>411059</c:v>
                </c:pt>
                <c:pt idx="2">
                  <c:v>306554</c:v>
                </c:pt>
                <c:pt idx="3">
                  <c:v>850356</c:v>
                </c:pt>
                <c:pt idx="4">
                  <c:v>469882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0D-4815-BFDF-600A93771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8814112"/>
        <c:axId val="1048814528"/>
      </c:lineChart>
      <c:catAx>
        <c:axId val="104881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48814528"/>
        <c:crosses val="autoZero"/>
        <c:auto val="1"/>
        <c:lblAlgn val="ctr"/>
        <c:lblOffset val="100"/>
        <c:noMultiLvlLbl val="0"/>
      </c:catAx>
      <c:valAx>
        <c:axId val="1048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4881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</xdr:row>
      <xdr:rowOff>0</xdr:rowOff>
    </xdr:from>
    <xdr:to>
      <xdr:col>12</xdr:col>
      <xdr:colOff>600075</xdr:colOff>
      <xdr:row>17</xdr:row>
      <xdr:rowOff>76200</xdr:rowOff>
    </xdr:to>
    <xdr:pic>
      <xdr:nvPicPr>
        <xdr:cNvPr id="3" name="_x143946320" descr="EMB000023dc4dc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10350" y="257175"/>
          <a:ext cx="5400675" cy="3438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19050</xdr:rowOff>
        </xdr:from>
        <xdr:to>
          <xdr:col>9</xdr:col>
          <xdr:colOff>190500</xdr:colOff>
          <xdr:row>3</xdr:row>
          <xdr:rowOff>161925</xdr:rowOff>
        </xdr:to>
        <xdr:sp macro="" textlink="">
          <xdr:nvSpPr>
            <xdr:cNvPr id="7169" name="자전거구입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24"/>
  <sheetViews>
    <sheetView workbookViewId="0">
      <selection activeCell="E28" sqref="E28"/>
    </sheetView>
  </sheetViews>
  <sheetFormatPr defaultRowHeight="16.5" x14ac:dyDescent="0.3"/>
  <cols>
    <col min="1" max="1" width="10.625" customWidth="1"/>
    <col min="2" max="2" width="12.875" customWidth="1"/>
    <col min="3" max="3" width="13.75" customWidth="1"/>
    <col min="4" max="4" width="12.75" customWidth="1"/>
    <col min="5" max="5" width="13.625" customWidth="1"/>
    <col min="6" max="6" width="10.25" customWidth="1"/>
    <col min="7" max="7" width="6.625" customWidth="1"/>
    <col min="8" max="8" width="11.75" customWidth="1"/>
    <col min="9" max="9" width="8.125" customWidth="1"/>
    <col min="10" max="10" width="11.625" customWidth="1"/>
  </cols>
  <sheetData>
    <row r="1" spans="1:12" x14ac:dyDescent="0.3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3" t="s">
        <v>9</v>
      </c>
      <c r="L1" s="50" t="s">
        <v>148</v>
      </c>
    </row>
    <row r="2" spans="1:12" x14ac:dyDescent="0.3">
      <c r="A2" s="4" t="s">
        <v>10</v>
      </c>
      <c r="B2" s="4" t="s">
        <v>11</v>
      </c>
      <c r="C2" s="4" t="s">
        <v>12</v>
      </c>
      <c r="D2" s="5">
        <v>44107</v>
      </c>
      <c r="E2" s="5">
        <v>44349</v>
      </c>
      <c r="F2" s="6">
        <v>267500</v>
      </c>
      <c r="G2" s="6">
        <v>3</v>
      </c>
      <c r="H2" s="6">
        <f>F2*G2</f>
        <v>802500</v>
      </c>
      <c r="I2" s="7">
        <v>0.2</v>
      </c>
      <c r="J2" s="6">
        <f>H2*I2</f>
        <v>160500</v>
      </c>
      <c r="L2" s="49" t="s">
        <v>149</v>
      </c>
    </row>
    <row r="3" spans="1:12" x14ac:dyDescent="0.3">
      <c r="A3" s="4" t="s">
        <v>13</v>
      </c>
      <c r="B3" s="4" t="s">
        <v>14</v>
      </c>
      <c r="C3" s="4" t="s">
        <v>15</v>
      </c>
      <c r="D3" s="5">
        <v>44085</v>
      </c>
      <c r="E3" s="5">
        <v>44356</v>
      </c>
      <c r="F3" s="6">
        <v>111278</v>
      </c>
      <c r="G3" s="6">
        <v>4</v>
      </c>
      <c r="H3" s="6">
        <f t="shared" ref="H3:H24" si="0">F3*G3</f>
        <v>445112</v>
      </c>
      <c r="I3" s="7">
        <v>0.22</v>
      </c>
      <c r="J3" s="6">
        <f t="shared" ref="J3:J24" si="1">H3*I3</f>
        <v>97924.64</v>
      </c>
      <c r="L3" s="49" t="s">
        <v>150</v>
      </c>
    </row>
    <row r="4" spans="1:12" x14ac:dyDescent="0.3">
      <c r="A4" s="4" t="s">
        <v>16</v>
      </c>
      <c r="B4" s="4" t="s">
        <v>14</v>
      </c>
      <c r="C4" s="4" t="s">
        <v>17</v>
      </c>
      <c r="D4" s="5">
        <v>44087</v>
      </c>
      <c r="E4" s="5">
        <v>44324</v>
      </c>
      <c r="F4" s="6">
        <v>108500</v>
      </c>
      <c r="G4" s="6">
        <v>18</v>
      </c>
      <c r="H4" s="6">
        <f t="shared" si="0"/>
        <v>1953000</v>
      </c>
      <c r="I4" s="7">
        <v>0.3</v>
      </c>
      <c r="J4" s="6">
        <f t="shared" si="1"/>
        <v>585900</v>
      </c>
      <c r="L4" s="49" t="s">
        <v>151</v>
      </c>
    </row>
    <row r="5" spans="1:12" x14ac:dyDescent="0.3">
      <c r="A5" s="4" t="s">
        <v>18</v>
      </c>
      <c r="B5" s="4" t="s">
        <v>19</v>
      </c>
      <c r="C5" s="4" t="s">
        <v>20</v>
      </c>
      <c r="D5" s="5">
        <v>44088</v>
      </c>
      <c r="E5" s="5">
        <v>44230</v>
      </c>
      <c r="F5" s="6">
        <v>114500</v>
      </c>
      <c r="G5" s="6">
        <v>15</v>
      </c>
      <c r="H5" s="6">
        <f t="shared" si="0"/>
        <v>1717500</v>
      </c>
      <c r="I5" s="7">
        <v>0.2</v>
      </c>
      <c r="J5" s="6">
        <f t="shared" si="1"/>
        <v>343500</v>
      </c>
    </row>
    <row r="6" spans="1:12" x14ac:dyDescent="0.3">
      <c r="A6" s="4" t="s">
        <v>13</v>
      </c>
      <c r="B6" s="4" t="s">
        <v>14</v>
      </c>
      <c r="C6" s="4" t="s">
        <v>21</v>
      </c>
      <c r="D6" s="5">
        <v>44098</v>
      </c>
      <c r="E6" s="5">
        <v>44228</v>
      </c>
      <c r="F6" s="6">
        <v>211278</v>
      </c>
      <c r="G6" s="6">
        <v>8</v>
      </c>
      <c r="H6" s="6">
        <f t="shared" si="0"/>
        <v>1690224</v>
      </c>
      <c r="I6" s="7">
        <v>0.23</v>
      </c>
      <c r="J6" s="6">
        <f t="shared" si="1"/>
        <v>388751.52</v>
      </c>
      <c r="L6" s="49" t="s">
        <v>152</v>
      </c>
    </row>
    <row r="7" spans="1:12" x14ac:dyDescent="0.3">
      <c r="A7" s="4" t="s">
        <v>22</v>
      </c>
      <c r="B7" s="4" t="s">
        <v>11</v>
      </c>
      <c r="C7" s="4" t="s">
        <v>23</v>
      </c>
      <c r="D7" s="5">
        <v>44102</v>
      </c>
      <c r="E7" s="5">
        <v>44259</v>
      </c>
      <c r="F7" s="6">
        <v>134750</v>
      </c>
      <c r="G7" s="6">
        <v>15</v>
      </c>
      <c r="H7" s="6">
        <f t="shared" si="0"/>
        <v>2021250</v>
      </c>
      <c r="I7" s="7">
        <v>0.17</v>
      </c>
      <c r="J7" s="6">
        <f t="shared" si="1"/>
        <v>343612.5</v>
      </c>
      <c r="L7" s="49" t="s">
        <v>153</v>
      </c>
    </row>
    <row r="8" spans="1:12" x14ac:dyDescent="0.3">
      <c r="A8" s="4" t="s">
        <v>13</v>
      </c>
      <c r="B8" s="4" t="s">
        <v>24</v>
      </c>
      <c r="C8" s="4" t="s">
        <v>25</v>
      </c>
      <c r="D8" s="5">
        <v>44105</v>
      </c>
      <c r="E8" s="5">
        <v>44205</v>
      </c>
      <c r="F8" s="6">
        <v>111278</v>
      </c>
      <c r="G8" s="6">
        <v>15</v>
      </c>
      <c r="H8" s="6">
        <f t="shared" si="0"/>
        <v>1669170</v>
      </c>
      <c r="I8" s="7">
        <v>0.32</v>
      </c>
      <c r="J8" s="6">
        <f t="shared" si="1"/>
        <v>534134.4</v>
      </c>
      <c r="L8" s="49" t="s">
        <v>154</v>
      </c>
    </row>
    <row r="9" spans="1:12" x14ac:dyDescent="0.3">
      <c r="A9" s="4" t="s">
        <v>18</v>
      </c>
      <c r="B9" s="4" t="s">
        <v>24</v>
      </c>
      <c r="C9" s="4" t="s">
        <v>26</v>
      </c>
      <c r="D9" s="5">
        <v>44108</v>
      </c>
      <c r="E9" s="5">
        <v>44232</v>
      </c>
      <c r="F9" s="6">
        <v>214500</v>
      </c>
      <c r="G9" s="6">
        <v>4</v>
      </c>
      <c r="H9" s="6">
        <f t="shared" si="0"/>
        <v>858000</v>
      </c>
      <c r="I9" s="7">
        <v>0.2</v>
      </c>
      <c r="J9" s="6">
        <f t="shared" si="1"/>
        <v>171600</v>
      </c>
    </row>
    <row r="10" spans="1:12" x14ac:dyDescent="0.3">
      <c r="A10" s="4" t="s">
        <v>22</v>
      </c>
      <c r="B10" s="4" t="s">
        <v>24</v>
      </c>
      <c r="C10" s="4" t="s">
        <v>27</v>
      </c>
      <c r="D10" s="5">
        <v>44090</v>
      </c>
      <c r="E10" s="5">
        <v>44232</v>
      </c>
      <c r="F10" s="6">
        <v>284750</v>
      </c>
      <c r="G10" s="6">
        <v>20</v>
      </c>
      <c r="H10" s="6">
        <f t="shared" si="0"/>
        <v>5695000</v>
      </c>
      <c r="I10" s="7">
        <v>0.13</v>
      </c>
      <c r="J10" s="6">
        <f t="shared" si="1"/>
        <v>740350</v>
      </c>
    </row>
    <row r="11" spans="1:12" x14ac:dyDescent="0.3">
      <c r="A11" s="4" t="s">
        <v>18</v>
      </c>
      <c r="B11" s="4" t="s">
        <v>24</v>
      </c>
      <c r="C11" s="4" t="s">
        <v>28</v>
      </c>
      <c r="D11" s="5">
        <v>44104</v>
      </c>
      <c r="E11" s="5">
        <v>44204</v>
      </c>
      <c r="F11" s="6">
        <v>114500</v>
      </c>
      <c r="G11" s="6">
        <v>3</v>
      </c>
      <c r="H11" s="6">
        <f t="shared" si="0"/>
        <v>343500</v>
      </c>
      <c r="I11" s="7">
        <v>0.2</v>
      </c>
      <c r="J11" s="6">
        <f t="shared" si="1"/>
        <v>68700</v>
      </c>
    </row>
    <row r="12" spans="1:12" x14ac:dyDescent="0.3">
      <c r="A12" s="4" t="s">
        <v>18</v>
      </c>
      <c r="B12" s="4" t="s">
        <v>11</v>
      </c>
      <c r="C12" s="4" t="s">
        <v>29</v>
      </c>
      <c r="D12" s="5">
        <v>44100</v>
      </c>
      <c r="E12" s="5">
        <v>44198</v>
      </c>
      <c r="F12" s="6">
        <v>114500</v>
      </c>
      <c r="G12" s="6">
        <v>2</v>
      </c>
      <c r="H12" s="6">
        <f t="shared" si="0"/>
        <v>229000</v>
      </c>
      <c r="I12" s="7">
        <v>0.2</v>
      </c>
      <c r="J12" s="6">
        <f t="shared" si="1"/>
        <v>45800</v>
      </c>
    </row>
    <row r="13" spans="1:12" x14ac:dyDescent="0.3">
      <c r="A13" s="4" t="s">
        <v>16</v>
      </c>
      <c r="B13" s="4" t="s">
        <v>11</v>
      </c>
      <c r="C13" s="4" t="s">
        <v>30</v>
      </c>
      <c r="D13" s="5">
        <v>44095</v>
      </c>
      <c r="E13" s="5">
        <v>44260</v>
      </c>
      <c r="F13" s="6">
        <v>108500</v>
      </c>
      <c r="G13" s="6">
        <v>11</v>
      </c>
      <c r="H13" s="6">
        <f t="shared" si="0"/>
        <v>1193500</v>
      </c>
      <c r="I13" s="7">
        <v>0.35</v>
      </c>
      <c r="J13" s="6">
        <f t="shared" si="1"/>
        <v>417725</v>
      </c>
    </row>
    <row r="14" spans="1:12" x14ac:dyDescent="0.3">
      <c r="A14" s="4" t="s">
        <v>22</v>
      </c>
      <c r="B14" s="4" t="s">
        <v>11</v>
      </c>
      <c r="C14" s="4" t="s">
        <v>31</v>
      </c>
      <c r="D14" s="5">
        <v>44091</v>
      </c>
      <c r="E14" s="5">
        <v>44392</v>
      </c>
      <c r="F14" s="6">
        <v>234750</v>
      </c>
      <c r="G14" s="6">
        <v>7</v>
      </c>
      <c r="H14" s="6">
        <f t="shared" si="0"/>
        <v>1643250</v>
      </c>
      <c r="I14" s="7">
        <v>0.15</v>
      </c>
      <c r="J14" s="6">
        <f t="shared" si="1"/>
        <v>246487.5</v>
      </c>
    </row>
    <row r="15" spans="1:12" x14ac:dyDescent="0.3">
      <c r="A15" s="4" t="s">
        <v>22</v>
      </c>
      <c r="B15" s="4" t="s">
        <v>14</v>
      </c>
      <c r="C15" s="4" t="s">
        <v>32</v>
      </c>
      <c r="D15" s="5">
        <v>44094</v>
      </c>
      <c r="E15" s="5">
        <v>44388</v>
      </c>
      <c r="F15" s="6">
        <v>284750</v>
      </c>
      <c r="G15" s="6">
        <v>6</v>
      </c>
      <c r="H15" s="6">
        <f t="shared" si="0"/>
        <v>1708500</v>
      </c>
      <c r="I15" s="7">
        <v>0.17</v>
      </c>
      <c r="J15" s="6">
        <f t="shared" si="1"/>
        <v>290445</v>
      </c>
    </row>
    <row r="16" spans="1:12" x14ac:dyDescent="0.3">
      <c r="A16" s="4" t="s">
        <v>16</v>
      </c>
      <c r="B16" s="4" t="s">
        <v>14</v>
      </c>
      <c r="C16" s="4" t="s">
        <v>33</v>
      </c>
      <c r="D16" s="5">
        <v>44086</v>
      </c>
      <c r="E16" s="5">
        <v>44291</v>
      </c>
      <c r="F16" s="6">
        <v>108500</v>
      </c>
      <c r="G16" s="6">
        <v>22</v>
      </c>
      <c r="H16" s="6">
        <f t="shared" si="0"/>
        <v>2387000</v>
      </c>
      <c r="I16" s="7">
        <v>0.25</v>
      </c>
      <c r="J16" s="6">
        <f t="shared" si="1"/>
        <v>596750</v>
      </c>
    </row>
    <row r="17" spans="1:10" x14ac:dyDescent="0.3">
      <c r="A17" s="4" t="s">
        <v>10</v>
      </c>
      <c r="B17" s="4" t="s">
        <v>14</v>
      </c>
      <c r="C17" s="4" t="s">
        <v>34</v>
      </c>
      <c r="D17" s="5">
        <v>44097</v>
      </c>
      <c r="E17" s="5">
        <v>44319</v>
      </c>
      <c r="F17" s="6">
        <v>117500</v>
      </c>
      <c r="G17" s="6">
        <v>1</v>
      </c>
      <c r="H17" s="6">
        <f t="shared" si="0"/>
        <v>117500</v>
      </c>
      <c r="I17" s="7">
        <v>0.3</v>
      </c>
      <c r="J17" s="6">
        <f t="shared" si="1"/>
        <v>35250</v>
      </c>
    </row>
    <row r="18" spans="1:10" x14ac:dyDescent="0.3">
      <c r="A18" s="4" t="s">
        <v>13</v>
      </c>
      <c r="B18" s="4" t="s">
        <v>14</v>
      </c>
      <c r="C18" s="4" t="s">
        <v>35</v>
      </c>
      <c r="D18" s="5">
        <v>44103</v>
      </c>
      <c r="E18" s="5">
        <v>44293</v>
      </c>
      <c r="F18" s="6">
        <v>111278</v>
      </c>
      <c r="G18" s="6">
        <v>11</v>
      </c>
      <c r="H18" s="6">
        <f t="shared" si="0"/>
        <v>1224058</v>
      </c>
      <c r="I18" s="7">
        <v>0.28000000000000003</v>
      </c>
      <c r="J18" s="6">
        <f t="shared" si="1"/>
        <v>342736.24000000005</v>
      </c>
    </row>
    <row r="19" spans="1:10" x14ac:dyDescent="0.3">
      <c r="A19" s="4" t="s">
        <v>13</v>
      </c>
      <c r="B19" s="4" t="s">
        <v>11</v>
      </c>
      <c r="C19" s="4" t="s">
        <v>36</v>
      </c>
      <c r="D19" s="5">
        <v>44106</v>
      </c>
      <c r="E19" s="5">
        <v>44239</v>
      </c>
      <c r="F19" s="6">
        <v>111278</v>
      </c>
      <c r="G19" s="6">
        <v>2</v>
      </c>
      <c r="H19" s="6">
        <f t="shared" si="0"/>
        <v>222556</v>
      </c>
      <c r="I19" s="7">
        <v>0.1</v>
      </c>
      <c r="J19" s="6">
        <f t="shared" si="1"/>
        <v>22255.600000000002</v>
      </c>
    </row>
    <row r="20" spans="1:10" x14ac:dyDescent="0.3">
      <c r="A20" s="4" t="s">
        <v>16</v>
      </c>
      <c r="B20" s="4" t="s">
        <v>24</v>
      </c>
      <c r="C20" s="4" t="s">
        <v>37</v>
      </c>
      <c r="D20" s="5">
        <v>44109</v>
      </c>
      <c r="E20" s="5">
        <v>44356</v>
      </c>
      <c r="F20" s="6">
        <v>258500</v>
      </c>
      <c r="G20" s="6">
        <v>21</v>
      </c>
      <c r="H20" s="6">
        <f t="shared" si="0"/>
        <v>5428500</v>
      </c>
      <c r="I20" s="7">
        <v>0.3</v>
      </c>
      <c r="J20" s="6">
        <f t="shared" si="1"/>
        <v>1628550</v>
      </c>
    </row>
    <row r="21" spans="1:10" x14ac:dyDescent="0.3">
      <c r="A21" s="4" t="s">
        <v>16</v>
      </c>
      <c r="B21" s="4" t="s">
        <v>24</v>
      </c>
      <c r="C21" s="4" t="s">
        <v>38</v>
      </c>
      <c r="D21" s="5">
        <v>44112</v>
      </c>
      <c r="E21" s="5">
        <v>44385</v>
      </c>
      <c r="F21" s="6">
        <v>108500</v>
      </c>
      <c r="G21" s="6">
        <v>10</v>
      </c>
      <c r="H21" s="6">
        <f t="shared" si="0"/>
        <v>1085000</v>
      </c>
      <c r="I21" s="7">
        <v>0.2</v>
      </c>
      <c r="J21" s="6">
        <f t="shared" si="1"/>
        <v>217000</v>
      </c>
    </row>
    <row r="22" spans="1:10" x14ac:dyDescent="0.3">
      <c r="A22" s="4" t="s">
        <v>10</v>
      </c>
      <c r="B22" s="4" t="s">
        <v>24</v>
      </c>
      <c r="C22" s="4" t="s">
        <v>39</v>
      </c>
      <c r="D22" s="5">
        <v>44113</v>
      </c>
      <c r="E22" s="5">
        <v>44327</v>
      </c>
      <c r="F22" s="6">
        <v>217500</v>
      </c>
      <c r="G22" s="6">
        <v>4</v>
      </c>
      <c r="H22" s="6">
        <f t="shared" si="0"/>
        <v>870000</v>
      </c>
      <c r="I22" s="7">
        <v>0.3</v>
      </c>
      <c r="J22" s="6">
        <f t="shared" si="1"/>
        <v>261000</v>
      </c>
    </row>
    <row r="23" spans="1:10" x14ac:dyDescent="0.3">
      <c r="A23" s="4" t="s">
        <v>40</v>
      </c>
      <c r="B23" s="4" t="s">
        <v>24</v>
      </c>
      <c r="C23" s="4" t="s">
        <v>41</v>
      </c>
      <c r="D23" s="5">
        <v>44114</v>
      </c>
      <c r="E23" s="5">
        <v>44385</v>
      </c>
      <c r="F23" s="6">
        <v>134750</v>
      </c>
      <c r="G23" s="6">
        <v>8</v>
      </c>
      <c r="H23" s="6">
        <f t="shared" si="0"/>
        <v>1078000</v>
      </c>
      <c r="I23" s="7">
        <v>0.2</v>
      </c>
      <c r="J23" s="6">
        <f t="shared" si="1"/>
        <v>215600</v>
      </c>
    </row>
    <row r="24" spans="1:10" x14ac:dyDescent="0.3">
      <c r="A24" s="4" t="s">
        <v>42</v>
      </c>
      <c r="B24" s="4" t="s">
        <v>11</v>
      </c>
      <c r="C24" s="4" t="s">
        <v>43</v>
      </c>
      <c r="D24" s="5">
        <v>44115</v>
      </c>
      <c r="E24" s="5">
        <v>44356</v>
      </c>
      <c r="F24" s="6">
        <v>267500</v>
      </c>
      <c r="G24" s="6">
        <v>7</v>
      </c>
      <c r="H24" s="6">
        <f t="shared" si="0"/>
        <v>1872500</v>
      </c>
      <c r="I24" s="7">
        <v>0.2</v>
      </c>
      <c r="J24" s="6">
        <f t="shared" si="1"/>
        <v>374500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B2:K25"/>
  <sheetViews>
    <sheetView topLeftCell="F1" workbookViewId="0">
      <selection activeCell="K3" activeCellId="1" sqref="I3:I25 K3:K25"/>
    </sheetView>
  </sheetViews>
  <sheetFormatPr defaultRowHeight="16.5" x14ac:dyDescent="0.3"/>
  <cols>
    <col min="2" max="2" width="10.625" customWidth="1"/>
    <col min="3" max="3" width="12.875" customWidth="1"/>
    <col min="4" max="4" width="13.75" customWidth="1"/>
    <col min="5" max="5" width="12.75" customWidth="1"/>
    <col min="6" max="6" width="13.625" customWidth="1"/>
    <col min="7" max="7" width="10.25" customWidth="1"/>
    <col min="8" max="8" width="6.625" customWidth="1"/>
    <col min="9" max="9" width="11.75" customWidth="1"/>
    <col min="10" max="10" width="8.125" customWidth="1"/>
    <col min="11" max="11" width="11.625" customWidth="1"/>
  </cols>
  <sheetData>
    <row r="2" spans="2:11" x14ac:dyDescent="0.3">
      <c r="B2" s="1" t="s">
        <v>0</v>
      </c>
      <c r="C2" s="1" t="s">
        <v>1</v>
      </c>
      <c r="D2" s="1" t="s">
        <v>2</v>
      </c>
      <c r="E2" s="2" t="s">
        <v>3</v>
      </c>
      <c r="F2" s="2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3" t="s">
        <v>9</v>
      </c>
    </row>
    <row r="3" spans="2:11" x14ac:dyDescent="0.3">
      <c r="B3" s="4" t="s">
        <v>10</v>
      </c>
      <c r="C3" s="4" t="s">
        <v>11</v>
      </c>
      <c r="D3" s="4" t="s">
        <v>12</v>
      </c>
      <c r="E3" s="5">
        <v>44107</v>
      </c>
      <c r="F3" s="5">
        <v>44349</v>
      </c>
      <c r="G3" s="6">
        <v>267500</v>
      </c>
      <c r="H3" s="6">
        <v>3</v>
      </c>
      <c r="I3" s="57">
        <f>G3*H3</f>
        <v>802500</v>
      </c>
      <c r="J3" s="7">
        <v>0.2</v>
      </c>
      <c r="K3" s="57">
        <f>I3*J3</f>
        <v>160500</v>
      </c>
    </row>
    <row r="4" spans="2:11" x14ac:dyDescent="0.3">
      <c r="B4" s="4" t="s">
        <v>13</v>
      </c>
      <c r="C4" s="4" t="s">
        <v>14</v>
      </c>
      <c r="D4" s="4" t="s">
        <v>15</v>
      </c>
      <c r="E4" s="5">
        <v>44085</v>
      </c>
      <c r="F4" s="5">
        <v>44356</v>
      </c>
      <c r="G4" s="6">
        <v>111278</v>
      </c>
      <c r="H4" s="6">
        <v>4</v>
      </c>
      <c r="I4" s="57">
        <f t="shared" ref="I4:I25" si="0">G4*H4</f>
        <v>445112</v>
      </c>
      <c r="J4" s="7">
        <v>0.22</v>
      </c>
      <c r="K4" s="57">
        <f t="shared" ref="K4:K25" si="1">I4*J4</f>
        <v>97924.64</v>
      </c>
    </row>
    <row r="5" spans="2:11" x14ac:dyDescent="0.3">
      <c r="B5" s="4" t="s">
        <v>16</v>
      </c>
      <c r="C5" s="4" t="s">
        <v>14</v>
      </c>
      <c r="D5" s="4" t="s">
        <v>17</v>
      </c>
      <c r="E5" s="5">
        <v>44087</v>
      </c>
      <c r="F5" s="5">
        <v>44324</v>
      </c>
      <c r="G5" s="6">
        <v>108500</v>
      </c>
      <c r="H5" s="6">
        <v>18</v>
      </c>
      <c r="I5" s="57">
        <f t="shared" si="0"/>
        <v>1953000</v>
      </c>
      <c r="J5" s="7">
        <v>0.3</v>
      </c>
      <c r="K5" s="57">
        <f t="shared" si="1"/>
        <v>585900</v>
      </c>
    </row>
    <row r="6" spans="2:11" x14ac:dyDescent="0.3">
      <c r="B6" s="4" t="s">
        <v>18</v>
      </c>
      <c r="C6" s="4" t="s">
        <v>14</v>
      </c>
      <c r="D6" s="4" t="s">
        <v>20</v>
      </c>
      <c r="E6" s="5">
        <v>44088</v>
      </c>
      <c r="F6" s="5">
        <v>44230</v>
      </c>
      <c r="G6" s="6">
        <v>114500</v>
      </c>
      <c r="H6" s="6">
        <v>15</v>
      </c>
      <c r="I6" s="57">
        <f t="shared" si="0"/>
        <v>1717500</v>
      </c>
      <c r="J6" s="7">
        <v>0.2</v>
      </c>
      <c r="K6" s="57">
        <f t="shared" si="1"/>
        <v>343500</v>
      </c>
    </row>
    <row r="7" spans="2:11" x14ac:dyDescent="0.3">
      <c r="B7" s="4" t="s">
        <v>13</v>
      </c>
      <c r="C7" s="4" t="s">
        <v>14</v>
      </c>
      <c r="D7" s="4" t="s">
        <v>21</v>
      </c>
      <c r="E7" s="5">
        <v>44098</v>
      </c>
      <c r="F7" s="5">
        <v>44228</v>
      </c>
      <c r="G7" s="6">
        <v>211278</v>
      </c>
      <c r="H7" s="6">
        <v>8</v>
      </c>
      <c r="I7" s="57">
        <f t="shared" si="0"/>
        <v>1690224</v>
      </c>
      <c r="J7" s="7">
        <v>0.23</v>
      </c>
      <c r="K7" s="57">
        <f t="shared" si="1"/>
        <v>388751.52</v>
      </c>
    </row>
    <row r="8" spans="2:11" x14ac:dyDescent="0.3">
      <c r="B8" s="4" t="s">
        <v>22</v>
      </c>
      <c r="C8" s="4" t="s">
        <v>11</v>
      </c>
      <c r="D8" s="4" t="s">
        <v>23</v>
      </c>
      <c r="E8" s="5">
        <v>44102</v>
      </c>
      <c r="F8" s="5">
        <v>44259</v>
      </c>
      <c r="G8" s="6">
        <v>134750</v>
      </c>
      <c r="H8" s="6">
        <v>15</v>
      </c>
      <c r="I8" s="57">
        <f t="shared" si="0"/>
        <v>2021250</v>
      </c>
      <c r="J8" s="7">
        <v>0.17</v>
      </c>
      <c r="K8" s="57">
        <f t="shared" si="1"/>
        <v>343612.5</v>
      </c>
    </row>
    <row r="9" spans="2:11" x14ac:dyDescent="0.3">
      <c r="B9" s="4" t="s">
        <v>13</v>
      </c>
      <c r="C9" s="4" t="s">
        <v>24</v>
      </c>
      <c r="D9" s="4" t="s">
        <v>25</v>
      </c>
      <c r="E9" s="5">
        <v>44105</v>
      </c>
      <c r="F9" s="5">
        <v>44205</v>
      </c>
      <c r="G9" s="6">
        <v>111278</v>
      </c>
      <c r="H9" s="6">
        <v>15</v>
      </c>
      <c r="I9" s="57">
        <f t="shared" si="0"/>
        <v>1669170</v>
      </c>
      <c r="J9" s="7">
        <v>0.32</v>
      </c>
      <c r="K9" s="57">
        <f t="shared" si="1"/>
        <v>534134.4</v>
      </c>
    </row>
    <row r="10" spans="2:11" x14ac:dyDescent="0.3">
      <c r="B10" s="4" t="s">
        <v>18</v>
      </c>
      <c r="C10" s="4" t="s">
        <v>24</v>
      </c>
      <c r="D10" s="4" t="s">
        <v>26</v>
      </c>
      <c r="E10" s="5">
        <v>44108</v>
      </c>
      <c r="F10" s="5">
        <v>44232</v>
      </c>
      <c r="G10" s="6">
        <v>214500</v>
      </c>
      <c r="H10" s="6">
        <v>4</v>
      </c>
      <c r="I10" s="57">
        <f t="shared" si="0"/>
        <v>858000</v>
      </c>
      <c r="J10" s="7">
        <v>0.2</v>
      </c>
      <c r="K10" s="57">
        <f t="shared" si="1"/>
        <v>171600</v>
      </c>
    </row>
    <row r="11" spans="2:11" x14ac:dyDescent="0.3">
      <c r="B11" s="4" t="s">
        <v>22</v>
      </c>
      <c r="C11" s="4" t="s">
        <v>24</v>
      </c>
      <c r="D11" s="4" t="s">
        <v>27</v>
      </c>
      <c r="E11" s="5">
        <v>44090</v>
      </c>
      <c r="F11" s="5">
        <v>44232</v>
      </c>
      <c r="G11" s="6">
        <v>284750</v>
      </c>
      <c r="H11" s="6">
        <v>20</v>
      </c>
      <c r="I11" s="57">
        <f t="shared" si="0"/>
        <v>5695000</v>
      </c>
      <c r="J11" s="7">
        <v>0.13</v>
      </c>
      <c r="K11" s="57">
        <f t="shared" si="1"/>
        <v>740350</v>
      </c>
    </row>
    <row r="12" spans="2:11" x14ac:dyDescent="0.3">
      <c r="B12" s="4" t="s">
        <v>18</v>
      </c>
      <c r="C12" s="4" t="s">
        <v>24</v>
      </c>
      <c r="D12" s="4" t="s">
        <v>28</v>
      </c>
      <c r="E12" s="5">
        <v>44104</v>
      </c>
      <c r="F12" s="5">
        <v>44204</v>
      </c>
      <c r="G12" s="6">
        <v>114500</v>
      </c>
      <c r="H12" s="6">
        <v>3</v>
      </c>
      <c r="I12" s="57">
        <f t="shared" si="0"/>
        <v>343500</v>
      </c>
      <c r="J12" s="7">
        <v>0.2</v>
      </c>
      <c r="K12" s="57">
        <f t="shared" si="1"/>
        <v>68700</v>
      </c>
    </row>
    <row r="13" spans="2:11" x14ac:dyDescent="0.3">
      <c r="B13" s="4" t="s">
        <v>18</v>
      </c>
      <c r="C13" s="4" t="s">
        <v>11</v>
      </c>
      <c r="D13" s="4" t="s">
        <v>28</v>
      </c>
      <c r="E13" s="5">
        <v>44100</v>
      </c>
      <c r="F13" s="5">
        <v>44198</v>
      </c>
      <c r="G13" s="6">
        <v>114500</v>
      </c>
      <c r="H13" s="6">
        <v>2</v>
      </c>
      <c r="I13" s="57">
        <f t="shared" si="0"/>
        <v>229000</v>
      </c>
      <c r="J13" s="7">
        <v>0.2</v>
      </c>
      <c r="K13" s="57">
        <f t="shared" si="1"/>
        <v>45800</v>
      </c>
    </row>
    <row r="14" spans="2:11" x14ac:dyDescent="0.3">
      <c r="B14" s="4" t="s">
        <v>16</v>
      </c>
      <c r="C14" s="4" t="s">
        <v>11</v>
      </c>
      <c r="D14" s="4" t="s">
        <v>30</v>
      </c>
      <c r="E14" s="5">
        <v>44095</v>
      </c>
      <c r="F14" s="5">
        <v>44260</v>
      </c>
      <c r="G14" s="6">
        <v>108500</v>
      </c>
      <c r="H14" s="6">
        <v>11</v>
      </c>
      <c r="I14" s="57">
        <f t="shared" si="0"/>
        <v>1193500</v>
      </c>
      <c r="J14" s="7">
        <v>0.35</v>
      </c>
      <c r="K14" s="57">
        <f t="shared" si="1"/>
        <v>417725</v>
      </c>
    </row>
    <row r="15" spans="2:11" x14ac:dyDescent="0.3">
      <c r="B15" s="4" t="s">
        <v>22</v>
      </c>
      <c r="C15" s="4" t="s">
        <v>11</v>
      </c>
      <c r="D15" s="4" t="s">
        <v>31</v>
      </c>
      <c r="E15" s="5">
        <v>44091</v>
      </c>
      <c r="F15" s="5">
        <v>44392</v>
      </c>
      <c r="G15" s="6">
        <v>234750</v>
      </c>
      <c r="H15" s="6">
        <v>7</v>
      </c>
      <c r="I15" s="57">
        <f t="shared" si="0"/>
        <v>1643250</v>
      </c>
      <c r="J15" s="7">
        <v>0.15</v>
      </c>
      <c r="K15" s="57">
        <f t="shared" si="1"/>
        <v>246487.5</v>
      </c>
    </row>
    <row r="16" spans="2:11" x14ac:dyDescent="0.3">
      <c r="B16" s="4" t="s">
        <v>22</v>
      </c>
      <c r="C16" s="4" t="s">
        <v>14</v>
      </c>
      <c r="D16" s="4" t="s">
        <v>32</v>
      </c>
      <c r="E16" s="5">
        <v>44094</v>
      </c>
      <c r="F16" s="5">
        <v>44388</v>
      </c>
      <c r="G16" s="6">
        <v>284750</v>
      </c>
      <c r="H16" s="6">
        <v>6</v>
      </c>
      <c r="I16" s="57">
        <f t="shared" si="0"/>
        <v>1708500</v>
      </c>
      <c r="J16" s="7">
        <v>0.17</v>
      </c>
      <c r="K16" s="57">
        <f t="shared" si="1"/>
        <v>290445</v>
      </c>
    </row>
    <row r="17" spans="2:11" x14ac:dyDescent="0.3">
      <c r="B17" s="4" t="s">
        <v>16</v>
      </c>
      <c r="C17" s="4" t="s">
        <v>14</v>
      </c>
      <c r="D17" s="4" t="s">
        <v>33</v>
      </c>
      <c r="E17" s="5">
        <v>44086</v>
      </c>
      <c r="F17" s="5">
        <v>44291</v>
      </c>
      <c r="G17" s="6">
        <v>108500</v>
      </c>
      <c r="H17" s="6">
        <v>22</v>
      </c>
      <c r="I17" s="57">
        <f t="shared" si="0"/>
        <v>2387000</v>
      </c>
      <c r="J17" s="7">
        <v>0.25</v>
      </c>
      <c r="K17" s="57">
        <f t="shared" si="1"/>
        <v>596750</v>
      </c>
    </row>
    <row r="18" spans="2:11" x14ac:dyDescent="0.3">
      <c r="B18" s="4" t="s">
        <v>10</v>
      </c>
      <c r="C18" s="4" t="s">
        <v>14</v>
      </c>
      <c r="D18" s="4" t="s">
        <v>34</v>
      </c>
      <c r="E18" s="5">
        <v>44097</v>
      </c>
      <c r="F18" s="5">
        <v>44319</v>
      </c>
      <c r="G18" s="6">
        <v>117500</v>
      </c>
      <c r="H18" s="6">
        <v>1</v>
      </c>
      <c r="I18" s="57">
        <f t="shared" si="0"/>
        <v>117500</v>
      </c>
      <c r="J18" s="7">
        <v>0.3</v>
      </c>
      <c r="K18" s="57">
        <f t="shared" si="1"/>
        <v>35250</v>
      </c>
    </row>
    <row r="19" spans="2:11" x14ac:dyDescent="0.3">
      <c r="B19" s="4" t="s">
        <v>13</v>
      </c>
      <c r="C19" s="4" t="s">
        <v>14</v>
      </c>
      <c r="D19" s="4" t="s">
        <v>35</v>
      </c>
      <c r="E19" s="5">
        <v>44103</v>
      </c>
      <c r="F19" s="5">
        <v>44293</v>
      </c>
      <c r="G19" s="6">
        <v>111278</v>
      </c>
      <c r="H19" s="6">
        <v>11</v>
      </c>
      <c r="I19" s="57">
        <f t="shared" si="0"/>
        <v>1224058</v>
      </c>
      <c r="J19" s="7">
        <v>0.28000000000000003</v>
      </c>
      <c r="K19" s="57">
        <f t="shared" si="1"/>
        <v>342736.24000000005</v>
      </c>
    </row>
    <row r="20" spans="2:11" x14ac:dyDescent="0.3">
      <c r="B20" s="4" t="s">
        <v>13</v>
      </c>
      <c r="C20" s="4" t="s">
        <v>11</v>
      </c>
      <c r="D20" s="4" t="s">
        <v>36</v>
      </c>
      <c r="E20" s="5">
        <v>44106</v>
      </c>
      <c r="F20" s="5">
        <v>44239</v>
      </c>
      <c r="G20" s="6">
        <v>111278</v>
      </c>
      <c r="H20" s="6">
        <v>2</v>
      </c>
      <c r="I20" s="57">
        <f t="shared" si="0"/>
        <v>222556</v>
      </c>
      <c r="J20" s="7">
        <v>0.1</v>
      </c>
      <c r="K20" s="57">
        <f t="shared" si="1"/>
        <v>22255.600000000002</v>
      </c>
    </row>
    <row r="21" spans="2:11" x14ac:dyDescent="0.3">
      <c r="B21" s="4" t="s">
        <v>16</v>
      </c>
      <c r="C21" s="4" t="s">
        <v>24</v>
      </c>
      <c r="D21" s="4" t="s">
        <v>37</v>
      </c>
      <c r="E21" s="5">
        <v>44109</v>
      </c>
      <c r="F21" s="5">
        <v>44356</v>
      </c>
      <c r="G21" s="6">
        <v>258500</v>
      </c>
      <c r="H21" s="6">
        <v>21</v>
      </c>
      <c r="I21" s="57">
        <f t="shared" si="0"/>
        <v>5428500</v>
      </c>
      <c r="J21" s="7">
        <v>0.3</v>
      </c>
      <c r="K21" s="57">
        <f t="shared" si="1"/>
        <v>1628550</v>
      </c>
    </row>
    <row r="22" spans="2:11" x14ac:dyDescent="0.3">
      <c r="B22" s="4" t="s">
        <v>16</v>
      </c>
      <c r="C22" s="4" t="s">
        <v>24</v>
      </c>
      <c r="D22" s="4" t="s">
        <v>38</v>
      </c>
      <c r="E22" s="5">
        <v>44112</v>
      </c>
      <c r="F22" s="5">
        <v>44385</v>
      </c>
      <c r="G22" s="6">
        <v>108500</v>
      </c>
      <c r="H22" s="6">
        <v>10</v>
      </c>
      <c r="I22" s="57">
        <f t="shared" si="0"/>
        <v>1085000</v>
      </c>
      <c r="J22" s="7">
        <v>0.2</v>
      </c>
      <c r="K22" s="57">
        <f t="shared" si="1"/>
        <v>217000</v>
      </c>
    </row>
    <row r="23" spans="2:11" x14ac:dyDescent="0.3">
      <c r="B23" s="4" t="s">
        <v>10</v>
      </c>
      <c r="C23" s="4" t="s">
        <v>24</v>
      </c>
      <c r="D23" s="4" t="s">
        <v>39</v>
      </c>
      <c r="E23" s="5">
        <v>44113</v>
      </c>
      <c r="F23" s="5">
        <v>44327</v>
      </c>
      <c r="G23" s="6">
        <v>217500</v>
      </c>
      <c r="H23" s="6">
        <v>4</v>
      </c>
      <c r="I23" s="57">
        <f t="shared" si="0"/>
        <v>870000</v>
      </c>
      <c r="J23" s="7">
        <v>0.3</v>
      </c>
      <c r="K23" s="57">
        <f t="shared" si="1"/>
        <v>261000</v>
      </c>
    </row>
    <row r="24" spans="2:11" x14ac:dyDescent="0.3">
      <c r="B24" s="4" t="s">
        <v>40</v>
      </c>
      <c r="C24" s="4" t="s">
        <v>24</v>
      </c>
      <c r="D24" s="4" t="s">
        <v>41</v>
      </c>
      <c r="E24" s="5">
        <v>44114</v>
      </c>
      <c r="F24" s="5">
        <v>44385</v>
      </c>
      <c r="G24" s="6">
        <v>134750</v>
      </c>
      <c r="H24" s="6">
        <v>8</v>
      </c>
      <c r="I24" s="57">
        <f t="shared" si="0"/>
        <v>1078000</v>
      </c>
      <c r="J24" s="7">
        <v>0.2</v>
      </c>
      <c r="K24" s="57">
        <f t="shared" si="1"/>
        <v>215600</v>
      </c>
    </row>
    <row r="25" spans="2:11" x14ac:dyDescent="0.3">
      <c r="B25" s="4" t="s">
        <v>42</v>
      </c>
      <c r="C25" s="4" t="s">
        <v>11</v>
      </c>
      <c r="D25" s="4" t="s">
        <v>43</v>
      </c>
      <c r="E25" s="5">
        <v>44115</v>
      </c>
      <c r="F25" s="5">
        <v>44356</v>
      </c>
      <c r="G25" s="6">
        <v>267500</v>
      </c>
      <c r="H25" s="6">
        <v>7</v>
      </c>
      <c r="I25" s="57">
        <f t="shared" si="0"/>
        <v>1872500</v>
      </c>
      <c r="J25" s="7">
        <v>0.2</v>
      </c>
      <c r="K25" s="57">
        <f t="shared" si="1"/>
        <v>374500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N32"/>
  <sheetViews>
    <sheetView tabSelected="1" workbookViewId="0">
      <selection activeCell="G3" sqref="G3"/>
    </sheetView>
  </sheetViews>
  <sheetFormatPr defaultRowHeight="16.5" x14ac:dyDescent="0.3"/>
  <cols>
    <col min="2" max="2" width="12.5" customWidth="1"/>
    <col min="3" max="3" width="12.125" customWidth="1"/>
    <col min="4" max="4" width="12.625" customWidth="1"/>
    <col min="6" max="8" width="10.5" customWidth="1"/>
    <col min="10" max="10" width="18.125" customWidth="1"/>
    <col min="11" max="13" width="10.625" customWidth="1"/>
  </cols>
  <sheetData>
    <row r="1" spans="1:14" x14ac:dyDescent="0.3">
      <c r="A1" s="8"/>
      <c r="C1" s="8"/>
      <c r="D1" s="8"/>
      <c r="E1" s="8"/>
      <c r="F1" s="8"/>
      <c r="G1" s="8"/>
      <c r="H1" s="51" t="s">
        <v>158</v>
      </c>
      <c r="I1" s="8"/>
      <c r="J1" s="8"/>
      <c r="K1" s="8"/>
      <c r="L1" s="8"/>
      <c r="M1" s="8"/>
      <c r="N1" s="8"/>
    </row>
    <row r="2" spans="1:14" x14ac:dyDescent="0.3">
      <c r="A2" s="9" t="s">
        <v>44</v>
      </c>
      <c r="B2" s="9" t="s">
        <v>45</v>
      </c>
      <c r="C2" s="9" t="s">
        <v>46</v>
      </c>
      <c r="D2" s="9" t="s">
        <v>4</v>
      </c>
      <c r="E2" s="10" t="s">
        <v>6</v>
      </c>
      <c r="F2" s="11" t="s">
        <v>47</v>
      </c>
      <c r="G2" s="11" t="s">
        <v>48</v>
      </c>
      <c r="H2" s="11" t="s">
        <v>49</v>
      </c>
      <c r="I2" s="53" t="s">
        <v>166</v>
      </c>
      <c r="J2" s="8" t="s">
        <v>50</v>
      </c>
      <c r="K2" s="12"/>
      <c r="L2" s="8"/>
      <c r="M2" s="8"/>
      <c r="N2" s="8"/>
    </row>
    <row r="3" spans="1:14" x14ac:dyDescent="0.3">
      <c r="A3" s="4" t="s">
        <v>22</v>
      </c>
      <c r="B3" s="4" t="s">
        <v>51</v>
      </c>
      <c r="C3" s="13" t="s">
        <v>19</v>
      </c>
      <c r="D3" s="14">
        <v>44205</v>
      </c>
      <c r="E3" s="15">
        <v>3</v>
      </c>
      <c r="F3" s="16"/>
      <c r="G3" s="17"/>
      <c r="H3" s="18"/>
      <c r="I3" s="8"/>
      <c r="J3" s="19" t="s">
        <v>52</v>
      </c>
      <c r="K3" s="19" t="s">
        <v>53</v>
      </c>
      <c r="L3" s="8"/>
      <c r="M3" s="48"/>
      <c r="N3" s="8"/>
    </row>
    <row r="4" spans="1:14" x14ac:dyDescent="0.3">
      <c r="A4" s="4" t="s">
        <v>16</v>
      </c>
      <c r="B4" s="4" t="s">
        <v>54</v>
      </c>
      <c r="C4" s="13" t="s">
        <v>55</v>
      </c>
      <c r="D4" s="14">
        <v>44228</v>
      </c>
      <c r="E4" s="15">
        <v>53.8</v>
      </c>
      <c r="F4" s="16"/>
      <c r="G4" s="17"/>
      <c r="H4" s="18"/>
      <c r="I4" s="8"/>
      <c r="J4" s="20" t="s">
        <v>54</v>
      </c>
      <c r="K4" s="15">
        <v>150000</v>
      </c>
      <c r="L4" s="8"/>
      <c r="M4" s="48"/>
      <c r="N4" s="8"/>
    </row>
    <row r="5" spans="1:14" x14ac:dyDescent="0.3">
      <c r="A5" s="4" t="s">
        <v>18</v>
      </c>
      <c r="B5" s="4" t="s">
        <v>56</v>
      </c>
      <c r="C5" s="13" t="s">
        <v>57</v>
      </c>
      <c r="D5" s="14">
        <v>44232</v>
      </c>
      <c r="E5" s="15">
        <v>17.600000000000001</v>
      </c>
      <c r="F5" s="16"/>
      <c r="G5" s="17"/>
      <c r="H5" s="18"/>
      <c r="I5" s="8"/>
      <c r="J5" s="20" t="s">
        <v>58</v>
      </c>
      <c r="K5" s="15">
        <v>90000</v>
      </c>
      <c r="L5" s="8"/>
      <c r="M5" s="8"/>
      <c r="N5" s="8"/>
    </row>
    <row r="6" spans="1:14" x14ac:dyDescent="0.3">
      <c r="A6" s="4" t="s">
        <v>16</v>
      </c>
      <c r="B6" s="4" t="s">
        <v>59</v>
      </c>
      <c r="C6" s="13" t="s">
        <v>57</v>
      </c>
      <c r="D6" s="14">
        <v>44239</v>
      </c>
      <c r="E6" s="15">
        <v>24.4</v>
      </c>
      <c r="F6" s="16"/>
      <c r="G6" s="17"/>
      <c r="H6" s="18"/>
      <c r="I6" s="8"/>
      <c r="J6" s="20" t="s">
        <v>51</v>
      </c>
      <c r="K6" s="15">
        <v>75000</v>
      </c>
      <c r="L6" s="8"/>
      <c r="M6" s="8"/>
      <c r="N6" s="8"/>
    </row>
    <row r="7" spans="1:14" x14ac:dyDescent="0.3">
      <c r="A7" s="4" t="s">
        <v>60</v>
      </c>
      <c r="B7" s="4" t="s">
        <v>59</v>
      </c>
      <c r="C7" s="13" t="s">
        <v>61</v>
      </c>
      <c r="D7" s="14">
        <v>44279</v>
      </c>
      <c r="E7" s="15">
        <v>7</v>
      </c>
      <c r="F7" s="16"/>
      <c r="G7" s="17"/>
      <c r="H7" s="18"/>
      <c r="I7" s="8"/>
      <c r="J7" s="20" t="s">
        <v>62</v>
      </c>
      <c r="K7" s="15">
        <v>91000</v>
      </c>
      <c r="L7" s="8"/>
      <c r="M7" s="8"/>
      <c r="N7" s="8"/>
    </row>
    <row r="8" spans="1:14" x14ac:dyDescent="0.3">
      <c r="A8" s="4" t="s">
        <v>63</v>
      </c>
      <c r="B8" s="4" t="s">
        <v>64</v>
      </c>
      <c r="C8" s="13" t="s">
        <v>55</v>
      </c>
      <c r="D8" s="14">
        <v>44288</v>
      </c>
      <c r="E8" s="15">
        <v>52</v>
      </c>
      <c r="F8" s="16"/>
      <c r="G8" s="17"/>
      <c r="H8" s="18"/>
      <c r="I8" s="8"/>
      <c r="J8" s="20" t="s">
        <v>65</v>
      </c>
      <c r="K8" s="15">
        <v>110000</v>
      </c>
      <c r="L8" s="8"/>
      <c r="M8" s="8"/>
      <c r="N8" s="8"/>
    </row>
    <row r="9" spans="1:14" x14ac:dyDescent="0.3">
      <c r="A9" s="4" t="s">
        <v>22</v>
      </c>
      <c r="B9" s="4" t="s">
        <v>56</v>
      </c>
      <c r="C9" s="13" t="s">
        <v>61</v>
      </c>
      <c r="D9" s="14">
        <v>44291</v>
      </c>
      <c r="E9" s="15">
        <v>28.4</v>
      </c>
      <c r="F9" s="16"/>
      <c r="G9" s="17"/>
      <c r="H9" s="18"/>
      <c r="I9" s="8"/>
      <c r="J9" s="20" t="s">
        <v>66</v>
      </c>
      <c r="K9" s="15">
        <v>135000</v>
      </c>
      <c r="L9" s="8"/>
      <c r="M9" s="8"/>
      <c r="N9" s="8"/>
    </row>
    <row r="10" spans="1:14" x14ac:dyDescent="0.3">
      <c r="A10" s="4" t="s">
        <v>40</v>
      </c>
      <c r="B10" s="4" t="s">
        <v>59</v>
      </c>
      <c r="C10" s="18" t="s">
        <v>67</v>
      </c>
      <c r="D10" s="14">
        <v>44291</v>
      </c>
      <c r="E10" s="15">
        <v>24.6</v>
      </c>
      <c r="F10" s="16"/>
      <c r="G10" s="17"/>
      <c r="H10" s="18"/>
      <c r="I10" s="8"/>
      <c r="J10" s="20" t="s">
        <v>68</v>
      </c>
      <c r="K10" s="15">
        <v>150000</v>
      </c>
      <c r="L10" s="8"/>
      <c r="M10" s="8"/>
      <c r="N10" s="8"/>
    </row>
    <row r="11" spans="1:14" x14ac:dyDescent="0.3">
      <c r="A11" s="4" t="s">
        <v>22</v>
      </c>
      <c r="B11" s="4" t="s">
        <v>58</v>
      </c>
      <c r="C11" s="13" t="s">
        <v>57</v>
      </c>
      <c r="D11" s="14">
        <v>44293</v>
      </c>
      <c r="E11" s="15">
        <v>26.2</v>
      </c>
      <c r="F11" s="16"/>
      <c r="G11" s="17"/>
      <c r="H11" s="18"/>
      <c r="I11" s="8"/>
      <c r="J11" s="21"/>
      <c r="K11" s="22"/>
      <c r="L11" s="8"/>
      <c r="M11" s="8"/>
      <c r="N11" s="8"/>
    </row>
    <row r="12" spans="1:14" x14ac:dyDescent="0.3">
      <c r="A12" s="4" t="s">
        <v>13</v>
      </c>
      <c r="B12" s="4" t="s">
        <v>56</v>
      </c>
      <c r="C12" s="13" t="s">
        <v>69</v>
      </c>
      <c r="D12" s="14">
        <v>44294</v>
      </c>
      <c r="E12" s="15">
        <v>4</v>
      </c>
      <c r="F12" s="16"/>
      <c r="G12" s="17"/>
      <c r="H12" s="18"/>
      <c r="I12" s="8"/>
      <c r="J12" s="21"/>
      <c r="K12" s="22"/>
      <c r="L12" s="8"/>
      <c r="M12" s="8"/>
      <c r="N12" s="8"/>
    </row>
    <row r="13" spans="1:14" x14ac:dyDescent="0.3">
      <c r="A13" s="4" t="s">
        <v>13</v>
      </c>
      <c r="B13" s="4" t="s">
        <v>66</v>
      </c>
      <c r="C13" s="13" t="s">
        <v>57</v>
      </c>
      <c r="D13" s="14">
        <v>44295</v>
      </c>
      <c r="E13" s="15">
        <v>28.2</v>
      </c>
      <c r="F13" s="16"/>
      <c r="G13" s="17"/>
      <c r="H13" s="18"/>
      <c r="I13" s="8"/>
      <c r="J13" s="8"/>
      <c r="K13" s="8"/>
      <c r="L13" s="8"/>
      <c r="M13" s="8"/>
      <c r="N13" s="8"/>
    </row>
    <row r="14" spans="1:14" x14ac:dyDescent="0.3">
      <c r="A14" s="4" t="s">
        <v>16</v>
      </c>
      <c r="B14" s="4" t="s">
        <v>66</v>
      </c>
      <c r="C14" s="13" t="s">
        <v>55</v>
      </c>
      <c r="D14" s="14">
        <v>44297</v>
      </c>
      <c r="E14" s="15">
        <v>45.4</v>
      </c>
      <c r="F14" s="16"/>
      <c r="G14" s="17"/>
      <c r="H14" s="18"/>
      <c r="I14" s="8"/>
      <c r="J14" s="8" t="s">
        <v>70</v>
      </c>
      <c r="K14" s="8"/>
      <c r="L14" s="8"/>
      <c r="M14" s="8"/>
      <c r="N14" s="8"/>
    </row>
    <row r="15" spans="1:14" x14ac:dyDescent="0.3">
      <c r="A15" s="4" t="s">
        <v>18</v>
      </c>
      <c r="B15" s="4" t="s">
        <v>56</v>
      </c>
      <c r="C15" s="13" t="s">
        <v>55</v>
      </c>
      <c r="D15" s="14">
        <v>44319</v>
      </c>
      <c r="E15" s="15">
        <v>25.2</v>
      </c>
      <c r="F15" s="16"/>
      <c r="G15" s="17"/>
      <c r="H15" s="18"/>
      <c r="I15" s="8"/>
      <c r="J15" s="23" t="s">
        <v>71</v>
      </c>
      <c r="K15" s="8"/>
      <c r="L15" s="8"/>
      <c r="M15" s="8"/>
      <c r="N15" s="8"/>
    </row>
    <row r="16" spans="1:14" x14ac:dyDescent="0.3">
      <c r="A16" s="4" t="s">
        <v>72</v>
      </c>
      <c r="B16" s="4" t="s">
        <v>66</v>
      </c>
      <c r="C16" s="13" t="s">
        <v>19</v>
      </c>
      <c r="D16" s="14">
        <v>44323</v>
      </c>
      <c r="E16" s="15">
        <v>39</v>
      </c>
      <c r="F16" s="16"/>
      <c r="G16" s="17"/>
      <c r="H16" s="18"/>
      <c r="I16" s="8"/>
      <c r="J16" s="15"/>
      <c r="K16" s="8"/>
      <c r="L16" s="8"/>
      <c r="M16" s="8"/>
      <c r="N16" s="8"/>
    </row>
    <row r="17" spans="1:14" x14ac:dyDescent="0.3">
      <c r="A17" s="4" t="s">
        <v>13</v>
      </c>
      <c r="B17" s="4" t="s">
        <v>51</v>
      </c>
      <c r="C17" s="13" t="s">
        <v>19</v>
      </c>
      <c r="D17" s="14">
        <v>44324</v>
      </c>
      <c r="E17" s="15">
        <v>47</v>
      </c>
      <c r="F17" s="16"/>
      <c r="G17" s="17"/>
      <c r="H17" s="18"/>
      <c r="I17" s="8"/>
      <c r="J17" s="8"/>
      <c r="K17" s="8"/>
      <c r="L17" s="8"/>
      <c r="M17" s="8"/>
      <c r="N17" s="8"/>
    </row>
    <row r="18" spans="1:14" x14ac:dyDescent="0.3">
      <c r="A18" s="4" t="s">
        <v>72</v>
      </c>
      <c r="B18" s="4" t="s">
        <v>73</v>
      </c>
      <c r="C18" s="13" t="s">
        <v>19</v>
      </c>
      <c r="D18" s="14">
        <v>44324</v>
      </c>
      <c r="E18" s="15">
        <v>25.8</v>
      </c>
      <c r="F18" s="16"/>
      <c r="G18" s="17"/>
      <c r="H18" s="18"/>
      <c r="I18" s="8"/>
      <c r="J18" s="8"/>
      <c r="K18" s="8"/>
      <c r="L18" s="8"/>
      <c r="M18" s="8"/>
      <c r="N18" s="8"/>
    </row>
    <row r="19" spans="1:14" x14ac:dyDescent="0.3">
      <c r="A19" s="4" t="s">
        <v>42</v>
      </c>
      <c r="B19" s="4" t="s">
        <v>74</v>
      </c>
      <c r="C19" s="13" t="s">
        <v>61</v>
      </c>
      <c r="D19" s="14">
        <v>44335</v>
      </c>
      <c r="E19" s="15">
        <v>45.8</v>
      </c>
      <c r="F19" s="16"/>
      <c r="G19" s="17"/>
      <c r="H19" s="18"/>
      <c r="I19" s="8"/>
      <c r="J19" s="8"/>
      <c r="K19" s="8"/>
      <c r="L19" s="8"/>
      <c r="M19" s="8"/>
      <c r="N19" s="8"/>
    </row>
    <row r="20" spans="1:14" x14ac:dyDescent="0.3">
      <c r="A20" s="4" t="s">
        <v>10</v>
      </c>
      <c r="B20" s="4" t="s">
        <v>51</v>
      </c>
      <c r="C20" s="13" t="s">
        <v>55</v>
      </c>
      <c r="D20" s="14">
        <v>44349</v>
      </c>
      <c r="E20" s="15">
        <v>53.6</v>
      </c>
      <c r="F20" s="16"/>
      <c r="G20" s="17"/>
      <c r="H20" s="18"/>
      <c r="I20" s="8"/>
      <c r="J20" s="54" t="s">
        <v>75</v>
      </c>
      <c r="K20" s="54"/>
      <c r="L20" s="54"/>
      <c r="M20" s="8"/>
      <c r="N20" s="8"/>
    </row>
    <row r="21" spans="1:14" x14ac:dyDescent="0.3">
      <c r="A21" s="4" t="s">
        <v>72</v>
      </c>
      <c r="B21" s="4" t="s">
        <v>66</v>
      </c>
      <c r="C21" s="13" t="s">
        <v>19</v>
      </c>
      <c r="D21" s="14">
        <v>44349</v>
      </c>
      <c r="E21" s="15">
        <v>46</v>
      </c>
      <c r="F21" s="16"/>
      <c r="G21" s="17"/>
      <c r="H21" s="18"/>
      <c r="I21" s="8"/>
      <c r="J21" s="24" t="s">
        <v>45</v>
      </c>
      <c r="K21" s="25" t="s">
        <v>19</v>
      </c>
      <c r="L21" s="25" t="s">
        <v>76</v>
      </c>
      <c r="M21" s="25" t="s">
        <v>57</v>
      </c>
      <c r="N21" s="8"/>
    </row>
    <row r="22" spans="1:14" x14ac:dyDescent="0.3">
      <c r="A22" s="4" t="s">
        <v>18</v>
      </c>
      <c r="B22" s="4" t="s">
        <v>66</v>
      </c>
      <c r="C22" s="13" t="s">
        <v>55</v>
      </c>
      <c r="D22" s="14">
        <v>44352</v>
      </c>
      <c r="E22" s="15">
        <v>23</v>
      </c>
      <c r="F22" s="16"/>
      <c r="G22" s="17"/>
      <c r="H22" s="18"/>
      <c r="I22" s="8"/>
      <c r="J22" s="26" t="s">
        <v>58</v>
      </c>
      <c r="K22" s="15"/>
      <c r="L22" s="15"/>
      <c r="M22" s="15"/>
      <c r="N22" s="8"/>
    </row>
    <row r="23" spans="1:14" x14ac:dyDescent="0.3">
      <c r="A23" s="4" t="s">
        <v>10</v>
      </c>
      <c r="B23" s="4" t="s">
        <v>64</v>
      </c>
      <c r="C23" s="13" t="s">
        <v>57</v>
      </c>
      <c r="D23" s="14">
        <v>44356</v>
      </c>
      <c r="E23" s="15">
        <v>25.4</v>
      </c>
      <c r="F23" s="16"/>
      <c r="G23" s="17"/>
      <c r="H23" s="18"/>
      <c r="I23" s="8"/>
      <c r="J23" s="26" t="s">
        <v>66</v>
      </c>
      <c r="K23" s="15"/>
      <c r="L23" s="15"/>
      <c r="M23" s="15"/>
      <c r="N23" s="8"/>
    </row>
    <row r="24" spans="1:14" x14ac:dyDescent="0.3">
      <c r="A24" s="4" t="s">
        <v>13</v>
      </c>
      <c r="B24" s="4" t="s">
        <v>54</v>
      </c>
      <c r="C24" s="13" t="s">
        <v>57</v>
      </c>
      <c r="D24" s="14">
        <v>44356</v>
      </c>
      <c r="E24" s="15">
        <v>24.8</v>
      </c>
      <c r="F24" s="16"/>
      <c r="G24" s="17"/>
      <c r="H24" s="18"/>
      <c r="I24" s="8"/>
      <c r="J24" s="26" t="s">
        <v>64</v>
      </c>
      <c r="K24" s="15"/>
      <c r="L24" s="15"/>
      <c r="M24" s="15"/>
      <c r="N24" s="8"/>
    </row>
    <row r="25" spans="1:14" x14ac:dyDescent="0.3">
      <c r="A25" s="4" t="s">
        <v>72</v>
      </c>
      <c r="B25" s="4" t="s">
        <v>59</v>
      </c>
      <c r="C25" s="13" t="s">
        <v>57</v>
      </c>
      <c r="D25" s="14">
        <v>44358</v>
      </c>
      <c r="E25" s="15">
        <v>33.799999999999997</v>
      </c>
      <c r="F25" s="16"/>
      <c r="G25" s="17"/>
      <c r="H25" s="18"/>
      <c r="I25" s="8"/>
      <c r="J25" s="26" t="s">
        <v>62</v>
      </c>
      <c r="K25" s="15"/>
      <c r="L25" s="15"/>
      <c r="M25" s="15"/>
      <c r="N25" s="8"/>
    </row>
    <row r="26" spans="1:14" x14ac:dyDescent="0.3">
      <c r="A26" s="4" t="s">
        <v>16</v>
      </c>
      <c r="B26" s="4" t="s">
        <v>66</v>
      </c>
      <c r="C26" s="13" t="s">
        <v>55</v>
      </c>
      <c r="D26" s="14">
        <v>44385</v>
      </c>
      <c r="E26" s="15">
        <v>25.6</v>
      </c>
      <c r="F26" s="16"/>
      <c r="G26" s="17"/>
      <c r="H26" s="18"/>
      <c r="I26" s="8"/>
      <c r="J26" s="27"/>
      <c r="K26" s="8"/>
      <c r="L26" s="8"/>
      <c r="M26" s="8"/>
      <c r="N26" s="8"/>
    </row>
    <row r="27" spans="1:14" x14ac:dyDescent="0.3">
      <c r="A27" s="4" t="s">
        <v>22</v>
      </c>
      <c r="B27" s="4" t="s">
        <v>51</v>
      </c>
      <c r="C27" s="13" t="s">
        <v>69</v>
      </c>
      <c r="D27" s="14">
        <v>44392</v>
      </c>
      <c r="E27" s="15">
        <v>23.4</v>
      </c>
      <c r="F27" s="16"/>
      <c r="G27" s="17"/>
      <c r="H27" s="18"/>
      <c r="I27" s="8"/>
      <c r="K27" s="8"/>
      <c r="L27" s="8"/>
      <c r="M27" s="8"/>
      <c r="N27" s="8"/>
    </row>
    <row r="28" spans="1:14" x14ac:dyDescent="0.3">
      <c r="A28" s="4" t="s">
        <v>42</v>
      </c>
      <c r="B28" s="4" t="s">
        <v>56</v>
      </c>
      <c r="C28" s="13" t="s">
        <v>55</v>
      </c>
      <c r="D28" s="14">
        <v>44422</v>
      </c>
      <c r="E28" s="15">
        <v>26.4</v>
      </c>
      <c r="F28" s="16"/>
      <c r="G28" s="17"/>
      <c r="H28" s="18"/>
      <c r="I28" s="8"/>
      <c r="J28" s="8"/>
      <c r="K28" s="8"/>
      <c r="L28" s="8"/>
      <c r="M28" s="8"/>
      <c r="N28" s="8"/>
    </row>
    <row r="29" spans="1:14" x14ac:dyDescent="0.3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</row>
    <row r="30" spans="1:14" x14ac:dyDescent="0.3">
      <c r="B30" s="51" t="s">
        <v>155</v>
      </c>
    </row>
    <row r="31" spans="1:14" x14ac:dyDescent="0.3">
      <c r="B31" s="50" t="s">
        <v>156</v>
      </c>
    </row>
    <row r="32" spans="1:14" x14ac:dyDescent="0.3">
      <c r="B32" s="49" t="s">
        <v>157</v>
      </c>
    </row>
  </sheetData>
  <mergeCells count="1">
    <mergeCell ref="J20:L20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F1"/>
  <sheetViews>
    <sheetView workbookViewId="0"/>
  </sheetViews>
  <sheetFormatPr defaultRowHeight="16.5" x14ac:dyDescent="0.3"/>
  <sheetData>
    <row r="1" spans="1:6" x14ac:dyDescent="0.3">
      <c r="A1" s="49" t="s">
        <v>159</v>
      </c>
      <c r="F1" s="52" t="s">
        <v>160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40"/>
  <sheetViews>
    <sheetView workbookViewId="0"/>
  </sheetViews>
  <sheetFormatPr defaultRowHeight="16.5" x14ac:dyDescent="0.3"/>
  <cols>
    <col min="1" max="1" width="10.375" bestFit="1" customWidth="1"/>
    <col min="2" max="2" width="10.75" bestFit="1" customWidth="1"/>
    <col min="5" max="5" width="10.625" bestFit="1" customWidth="1"/>
    <col min="7" max="7" width="10.625" bestFit="1" customWidth="1"/>
  </cols>
  <sheetData>
    <row r="1" spans="1:7" x14ac:dyDescent="0.3">
      <c r="A1" t="s">
        <v>131</v>
      </c>
    </row>
    <row r="2" spans="1:7" x14ac:dyDescent="0.3">
      <c r="A2" s="28" t="s">
        <v>130</v>
      </c>
      <c r="B2" s="29" t="s">
        <v>4</v>
      </c>
      <c r="C2" s="30" t="s">
        <v>5</v>
      </c>
      <c r="D2" s="28" t="s">
        <v>6</v>
      </c>
      <c r="E2" s="30" t="s">
        <v>7</v>
      </c>
      <c r="F2" s="28" t="s">
        <v>8</v>
      </c>
      <c r="G2" s="30" t="s">
        <v>9</v>
      </c>
    </row>
    <row r="3" spans="1:7" x14ac:dyDescent="0.3">
      <c r="A3" s="28" t="s">
        <v>77</v>
      </c>
      <c r="B3" s="29">
        <v>44349</v>
      </c>
      <c r="C3" s="30">
        <v>267500</v>
      </c>
      <c r="D3" s="28">
        <v>3</v>
      </c>
      <c r="E3" s="30">
        <v>802500</v>
      </c>
      <c r="F3" s="31">
        <v>0.2</v>
      </c>
      <c r="G3" s="30">
        <v>160500</v>
      </c>
    </row>
    <row r="4" spans="1:7" x14ac:dyDescent="0.3">
      <c r="A4" s="28" t="s">
        <v>78</v>
      </c>
      <c r="B4" s="29">
        <v>44356</v>
      </c>
      <c r="C4" s="30">
        <v>111278</v>
      </c>
      <c r="D4" s="28">
        <v>4</v>
      </c>
      <c r="E4" s="30">
        <v>445112</v>
      </c>
      <c r="F4" s="31">
        <v>0.22</v>
      </c>
      <c r="G4" s="30">
        <v>97924.64</v>
      </c>
    </row>
    <row r="5" spans="1:7" x14ac:dyDescent="0.3">
      <c r="A5" s="28" t="s">
        <v>79</v>
      </c>
      <c r="B5" s="29">
        <v>44324</v>
      </c>
      <c r="C5" s="30">
        <v>108500</v>
      </c>
      <c r="D5" s="28">
        <v>18</v>
      </c>
      <c r="E5" s="30">
        <v>1953000</v>
      </c>
      <c r="F5" s="31">
        <v>0.3</v>
      </c>
      <c r="G5" s="30">
        <v>585900</v>
      </c>
    </row>
    <row r="6" spans="1:7" x14ac:dyDescent="0.3">
      <c r="A6" s="28" t="s">
        <v>80</v>
      </c>
      <c r="B6" s="29">
        <v>44230</v>
      </c>
      <c r="C6" s="30">
        <v>114500</v>
      </c>
      <c r="D6" s="28">
        <v>15</v>
      </c>
      <c r="E6" s="30">
        <v>1717500</v>
      </c>
      <c r="F6" s="31">
        <v>0.2</v>
      </c>
      <c r="G6" s="30">
        <v>343500</v>
      </c>
    </row>
    <row r="7" spans="1:7" x14ac:dyDescent="0.3">
      <c r="A7" s="28" t="s">
        <v>81</v>
      </c>
      <c r="B7" s="29">
        <v>44228</v>
      </c>
      <c r="C7" s="30">
        <v>211278</v>
      </c>
      <c r="D7" s="28">
        <v>8</v>
      </c>
      <c r="E7" s="30">
        <v>1690224</v>
      </c>
      <c r="F7" s="31">
        <v>0.23</v>
      </c>
      <c r="G7" s="30">
        <v>388751.52</v>
      </c>
    </row>
    <row r="8" spans="1:7" x14ac:dyDescent="0.3">
      <c r="A8" s="28" t="s">
        <v>82</v>
      </c>
      <c r="B8" s="29">
        <v>44259</v>
      </c>
      <c r="C8" s="30">
        <v>134750</v>
      </c>
      <c r="D8" s="28">
        <v>15</v>
      </c>
      <c r="E8" s="30">
        <v>2021250</v>
      </c>
      <c r="F8" s="31">
        <v>0.17</v>
      </c>
      <c r="G8" s="30">
        <v>343612.5</v>
      </c>
    </row>
    <row r="9" spans="1:7" x14ac:dyDescent="0.3">
      <c r="A9" s="28" t="s">
        <v>83</v>
      </c>
      <c r="B9" s="29">
        <v>44205</v>
      </c>
      <c r="C9" s="30">
        <v>111278</v>
      </c>
      <c r="D9" s="28">
        <v>15</v>
      </c>
      <c r="E9" s="30">
        <v>1669170</v>
      </c>
      <c r="F9" s="31">
        <v>0.32</v>
      </c>
      <c r="G9" s="30">
        <v>534134.4</v>
      </c>
    </row>
    <row r="10" spans="1:7" x14ac:dyDescent="0.3">
      <c r="A10" s="28" t="s">
        <v>84</v>
      </c>
      <c r="B10" s="29">
        <v>44232</v>
      </c>
      <c r="C10" s="30">
        <v>214500</v>
      </c>
      <c r="D10" s="28">
        <v>4</v>
      </c>
      <c r="E10" s="30">
        <v>858000</v>
      </c>
      <c r="F10" s="31">
        <v>0.2</v>
      </c>
      <c r="G10" s="30">
        <v>171600</v>
      </c>
    </row>
    <row r="11" spans="1:7" x14ac:dyDescent="0.3">
      <c r="A11" s="28" t="s">
        <v>85</v>
      </c>
      <c r="B11" s="29">
        <v>44232</v>
      </c>
      <c r="C11" s="30">
        <v>284750</v>
      </c>
      <c r="D11" s="28">
        <v>20</v>
      </c>
      <c r="E11" s="30">
        <v>5695000</v>
      </c>
      <c r="F11" s="31">
        <v>0.13</v>
      </c>
      <c r="G11" s="30">
        <v>740350</v>
      </c>
    </row>
    <row r="12" spans="1:7" x14ac:dyDescent="0.3">
      <c r="A12" s="28" t="s">
        <v>86</v>
      </c>
      <c r="B12" s="29">
        <v>44204</v>
      </c>
      <c r="C12" s="30">
        <v>114500</v>
      </c>
      <c r="D12" s="28">
        <v>3</v>
      </c>
      <c r="E12" s="30">
        <v>343500</v>
      </c>
      <c r="F12" s="31">
        <v>0.2</v>
      </c>
      <c r="G12" s="30">
        <v>68700</v>
      </c>
    </row>
    <row r="13" spans="1:7" x14ac:dyDescent="0.3">
      <c r="A13" s="28" t="s">
        <v>86</v>
      </c>
      <c r="B13" s="29">
        <v>44198</v>
      </c>
      <c r="C13" s="30">
        <v>114500</v>
      </c>
      <c r="D13" s="28">
        <v>2</v>
      </c>
      <c r="E13" s="30">
        <v>229000</v>
      </c>
      <c r="F13" s="31">
        <v>0.2</v>
      </c>
      <c r="G13" s="30">
        <v>45800</v>
      </c>
    </row>
    <row r="14" spans="1:7" x14ac:dyDescent="0.3">
      <c r="A14" s="28" t="s">
        <v>87</v>
      </c>
      <c r="B14" s="29">
        <v>44260</v>
      </c>
      <c r="C14" s="30">
        <v>108500</v>
      </c>
      <c r="D14" s="28">
        <v>11</v>
      </c>
      <c r="E14" s="30">
        <v>1193500</v>
      </c>
      <c r="F14" s="31">
        <v>0.35000000000000003</v>
      </c>
      <c r="G14" s="30">
        <v>417725</v>
      </c>
    </row>
    <row r="15" spans="1:7" x14ac:dyDescent="0.3">
      <c r="A15" s="28" t="s">
        <v>88</v>
      </c>
      <c r="B15" s="29">
        <v>44392</v>
      </c>
      <c r="C15" s="30">
        <v>234750</v>
      </c>
      <c r="D15" s="28">
        <v>7</v>
      </c>
      <c r="E15" s="30">
        <v>1643250</v>
      </c>
      <c r="F15" s="31">
        <v>0.15</v>
      </c>
      <c r="G15" s="30">
        <v>246487.5</v>
      </c>
    </row>
    <row r="16" spans="1:7" x14ac:dyDescent="0.3">
      <c r="A16" s="28" t="s">
        <v>89</v>
      </c>
      <c r="B16" s="29">
        <v>44388</v>
      </c>
      <c r="C16" s="30">
        <v>284750</v>
      </c>
      <c r="D16" s="28">
        <v>6</v>
      </c>
      <c r="E16" s="30">
        <v>1708500</v>
      </c>
      <c r="F16" s="31">
        <v>0.17</v>
      </c>
      <c r="G16" s="30">
        <v>290445</v>
      </c>
    </row>
    <row r="17" spans="1:7" x14ac:dyDescent="0.3">
      <c r="A17" s="28" t="s">
        <v>90</v>
      </c>
      <c r="B17" s="29">
        <v>44291</v>
      </c>
      <c r="C17" s="30">
        <v>108500</v>
      </c>
      <c r="D17" s="28">
        <v>22</v>
      </c>
      <c r="E17" s="30">
        <v>2387000</v>
      </c>
      <c r="F17" s="31">
        <v>0.25</v>
      </c>
      <c r="G17" s="30">
        <v>596750</v>
      </c>
    </row>
    <row r="18" spans="1:7" x14ac:dyDescent="0.3">
      <c r="A18" s="28" t="s">
        <v>91</v>
      </c>
      <c r="B18" s="29">
        <v>44319</v>
      </c>
      <c r="C18" s="30">
        <v>117500</v>
      </c>
      <c r="D18" s="28">
        <v>1</v>
      </c>
      <c r="E18" s="30">
        <v>117500</v>
      </c>
      <c r="F18" s="31">
        <v>0.3</v>
      </c>
      <c r="G18" s="30">
        <v>35250</v>
      </c>
    </row>
    <row r="19" spans="1:7" x14ac:dyDescent="0.3">
      <c r="A19" s="28" t="s">
        <v>92</v>
      </c>
      <c r="B19" s="29">
        <v>44293</v>
      </c>
      <c r="C19" s="30">
        <v>111278</v>
      </c>
      <c r="D19" s="28">
        <v>11</v>
      </c>
      <c r="E19" s="30">
        <v>1224058</v>
      </c>
      <c r="F19" s="31">
        <v>0.28000000000000003</v>
      </c>
      <c r="G19" s="30">
        <v>342736.24000000005</v>
      </c>
    </row>
    <row r="20" spans="1:7" x14ac:dyDescent="0.3">
      <c r="A20" s="28" t="s">
        <v>93</v>
      </c>
      <c r="B20" s="29">
        <v>44239</v>
      </c>
      <c r="C20" s="30">
        <v>111278</v>
      </c>
      <c r="D20" s="28">
        <v>2</v>
      </c>
      <c r="E20" s="30">
        <v>222556</v>
      </c>
      <c r="F20" s="31">
        <v>0.1</v>
      </c>
      <c r="G20" s="30">
        <v>22255.600000000002</v>
      </c>
    </row>
    <row r="21" spans="1:7" x14ac:dyDescent="0.3">
      <c r="A21" s="28" t="s">
        <v>94</v>
      </c>
      <c r="B21" s="29">
        <v>44356</v>
      </c>
      <c r="C21" s="30">
        <v>258500</v>
      </c>
      <c r="D21" s="28">
        <v>21</v>
      </c>
      <c r="E21" s="30">
        <v>5428500</v>
      </c>
      <c r="F21" s="31">
        <v>0.3</v>
      </c>
      <c r="G21" s="30">
        <v>1628550</v>
      </c>
    </row>
    <row r="22" spans="1:7" x14ac:dyDescent="0.3">
      <c r="A22" s="28" t="s">
        <v>95</v>
      </c>
      <c r="B22" s="29">
        <v>44385</v>
      </c>
      <c r="C22" s="30">
        <v>108500</v>
      </c>
      <c r="D22" s="28">
        <v>10</v>
      </c>
      <c r="E22" s="30">
        <v>1085000</v>
      </c>
      <c r="F22" s="31">
        <v>0.2</v>
      </c>
      <c r="G22" s="30">
        <v>217000</v>
      </c>
    </row>
    <row r="23" spans="1:7" x14ac:dyDescent="0.3">
      <c r="A23" s="28" t="s">
        <v>96</v>
      </c>
      <c r="B23" s="29">
        <v>44327</v>
      </c>
      <c r="C23" s="30">
        <v>217500</v>
      </c>
      <c r="D23" s="28">
        <v>4</v>
      </c>
      <c r="E23" s="30">
        <v>870000</v>
      </c>
      <c r="F23" s="31">
        <v>0.3</v>
      </c>
      <c r="G23" s="30">
        <v>261000</v>
      </c>
    </row>
    <row r="24" spans="1:7" x14ac:dyDescent="0.3">
      <c r="A24" s="28" t="s">
        <v>97</v>
      </c>
      <c r="B24" s="29">
        <v>44385</v>
      </c>
      <c r="C24" s="30">
        <v>134750</v>
      </c>
      <c r="D24" s="28">
        <v>8</v>
      </c>
      <c r="E24" s="30">
        <v>1078000</v>
      </c>
      <c r="F24" s="31">
        <v>0.2</v>
      </c>
      <c r="G24" s="30">
        <v>215600</v>
      </c>
    </row>
    <row r="25" spans="1:7" x14ac:dyDescent="0.3">
      <c r="A25" s="28" t="s">
        <v>98</v>
      </c>
      <c r="B25" s="29">
        <v>44356</v>
      </c>
      <c r="C25" s="30">
        <v>267500</v>
      </c>
      <c r="D25" s="28">
        <v>7</v>
      </c>
      <c r="E25" s="30">
        <v>1872500</v>
      </c>
      <c r="F25" s="31">
        <v>0.2</v>
      </c>
      <c r="G25" s="30">
        <v>374500</v>
      </c>
    </row>
    <row r="26" spans="1:7" x14ac:dyDescent="0.3">
      <c r="A26" s="28" t="s">
        <v>99</v>
      </c>
      <c r="B26" s="29">
        <v>44291</v>
      </c>
      <c r="C26" s="30">
        <v>111278</v>
      </c>
      <c r="D26" s="28">
        <v>3</v>
      </c>
      <c r="E26" s="30">
        <v>333834</v>
      </c>
      <c r="F26" s="31">
        <v>0.15</v>
      </c>
      <c r="G26" s="30">
        <v>50075.1</v>
      </c>
    </row>
    <row r="27" spans="1:7" x14ac:dyDescent="0.3">
      <c r="A27" s="28" t="s">
        <v>100</v>
      </c>
      <c r="B27" s="29">
        <v>44259</v>
      </c>
      <c r="C27" s="30">
        <v>114500</v>
      </c>
      <c r="D27" s="28">
        <v>9</v>
      </c>
      <c r="E27" s="30">
        <v>1030500</v>
      </c>
      <c r="F27" s="31">
        <v>0.2</v>
      </c>
      <c r="G27" s="30">
        <v>206100</v>
      </c>
    </row>
    <row r="28" spans="1:7" x14ac:dyDescent="0.3">
      <c r="A28" s="28" t="s">
        <v>101</v>
      </c>
      <c r="B28" s="29">
        <v>44335</v>
      </c>
      <c r="C28" s="30">
        <v>222500</v>
      </c>
      <c r="D28" s="28">
        <v>21</v>
      </c>
      <c r="E28" s="30">
        <v>4672500</v>
      </c>
      <c r="F28" s="31">
        <v>0.4</v>
      </c>
      <c r="G28" s="30">
        <v>1869000</v>
      </c>
    </row>
    <row r="29" spans="1:7" x14ac:dyDescent="0.3">
      <c r="A29" s="28" t="s">
        <v>102</v>
      </c>
      <c r="B29" s="29">
        <v>44415</v>
      </c>
      <c r="C29" s="30">
        <v>217500</v>
      </c>
      <c r="D29" s="28">
        <v>8</v>
      </c>
      <c r="E29" s="30">
        <v>1740000</v>
      </c>
      <c r="F29" s="31">
        <v>0.3</v>
      </c>
      <c r="G29" s="30">
        <v>522000</v>
      </c>
    </row>
    <row r="30" spans="1:7" x14ac:dyDescent="0.3">
      <c r="A30" s="28" t="s">
        <v>103</v>
      </c>
      <c r="B30" s="29">
        <v>44279</v>
      </c>
      <c r="C30" s="30">
        <v>263580</v>
      </c>
      <c r="D30" s="28">
        <v>4</v>
      </c>
      <c r="E30" s="30">
        <v>1054320</v>
      </c>
      <c r="F30" s="31">
        <v>0.05</v>
      </c>
      <c r="G30" s="30">
        <v>52716</v>
      </c>
    </row>
    <row r="31" spans="1:7" x14ac:dyDescent="0.3">
      <c r="A31" s="28" t="s">
        <v>104</v>
      </c>
      <c r="B31" s="29">
        <v>44385</v>
      </c>
      <c r="C31" s="30">
        <v>122500</v>
      </c>
      <c r="D31" s="28">
        <v>10</v>
      </c>
      <c r="E31" s="30">
        <v>1225000</v>
      </c>
      <c r="F31" s="31">
        <v>0.25</v>
      </c>
      <c r="G31" s="30">
        <v>306250</v>
      </c>
    </row>
    <row r="32" spans="1:7" x14ac:dyDescent="0.3">
      <c r="A32" s="28" t="s">
        <v>105</v>
      </c>
      <c r="B32" s="29">
        <v>44354</v>
      </c>
      <c r="C32" s="30">
        <v>122500</v>
      </c>
      <c r="D32" s="28">
        <v>1</v>
      </c>
      <c r="E32" s="30">
        <v>122500</v>
      </c>
      <c r="F32" s="31">
        <v>0.17</v>
      </c>
      <c r="G32" s="30">
        <v>20825</v>
      </c>
    </row>
    <row r="33" spans="1:7" x14ac:dyDescent="0.3">
      <c r="A33" s="28" t="s">
        <v>106</v>
      </c>
      <c r="B33" s="29">
        <v>44525</v>
      </c>
      <c r="C33" s="30">
        <v>113580</v>
      </c>
      <c r="D33" s="28">
        <v>8</v>
      </c>
      <c r="E33" s="30">
        <v>908640</v>
      </c>
      <c r="F33" s="31">
        <v>7.0000000000000007E-2</v>
      </c>
      <c r="G33" s="30">
        <v>63604.800000000003</v>
      </c>
    </row>
    <row r="34" spans="1:7" x14ac:dyDescent="0.3">
      <c r="A34" s="28" t="s">
        <v>107</v>
      </c>
      <c r="B34" s="29">
        <v>44419</v>
      </c>
      <c r="C34" s="30">
        <v>213580</v>
      </c>
      <c r="D34" s="28">
        <v>9</v>
      </c>
      <c r="E34" s="30">
        <v>1922220</v>
      </c>
      <c r="F34" s="31">
        <v>0.03</v>
      </c>
      <c r="G34" s="30">
        <v>57666.6</v>
      </c>
    </row>
    <row r="35" spans="1:7" x14ac:dyDescent="0.3">
      <c r="A35" s="28" t="s">
        <v>108</v>
      </c>
      <c r="B35" s="29">
        <v>44416</v>
      </c>
      <c r="C35" s="30">
        <v>108500</v>
      </c>
      <c r="D35" s="28">
        <v>9</v>
      </c>
      <c r="E35" s="30">
        <v>976500</v>
      </c>
      <c r="F35" s="31">
        <v>0.25</v>
      </c>
      <c r="G35" s="30">
        <v>244125</v>
      </c>
    </row>
    <row r="36" spans="1:7" x14ac:dyDescent="0.3">
      <c r="A36" s="28" t="s">
        <v>109</v>
      </c>
      <c r="B36" s="29">
        <v>44257</v>
      </c>
      <c r="C36" s="30">
        <v>272500</v>
      </c>
      <c r="D36" s="28">
        <v>17</v>
      </c>
      <c r="E36" s="30">
        <v>4632500</v>
      </c>
      <c r="F36" s="31">
        <v>0.1</v>
      </c>
      <c r="G36" s="30">
        <v>463250</v>
      </c>
    </row>
    <row r="37" spans="1:7" x14ac:dyDescent="0.3">
      <c r="A37" s="28" t="s">
        <v>110</v>
      </c>
      <c r="B37" s="29">
        <v>44422</v>
      </c>
      <c r="C37" s="30">
        <v>113580</v>
      </c>
      <c r="D37" s="28">
        <v>12</v>
      </c>
      <c r="E37" s="30">
        <v>1362960</v>
      </c>
      <c r="F37" s="31">
        <v>0.12</v>
      </c>
      <c r="G37" s="30">
        <v>163555.19999999998</v>
      </c>
    </row>
    <row r="38" spans="1:7" x14ac:dyDescent="0.3">
      <c r="A38" s="28" t="s">
        <v>111</v>
      </c>
      <c r="B38" s="29">
        <v>44198</v>
      </c>
      <c r="C38" s="30">
        <v>234750</v>
      </c>
      <c r="D38" s="28">
        <v>19</v>
      </c>
      <c r="E38" s="30">
        <v>4460250</v>
      </c>
      <c r="F38" s="31">
        <v>0.11</v>
      </c>
      <c r="G38" s="30">
        <v>490627.5</v>
      </c>
    </row>
    <row r="39" spans="1:7" x14ac:dyDescent="0.3">
      <c r="A39" s="28" t="s">
        <v>112</v>
      </c>
      <c r="B39" s="29">
        <v>44388</v>
      </c>
      <c r="C39" s="30">
        <v>284750</v>
      </c>
      <c r="D39" s="28">
        <v>9</v>
      </c>
      <c r="E39" s="30">
        <v>2562750</v>
      </c>
      <c r="F39" s="31">
        <v>0.3</v>
      </c>
      <c r="G39" s="30">
        <v>768825</v>
      </c>
    </row>
    <row r="40" spans="1:7" x14ac:dyDescent="0.3">
      <c r="A40" s="28" t="s">
        <v>113</v>
      </c>
      <c r="B40" s="29">
        <v>44441</v>
      </c>
      <c r="C40" s="30">
        <v>217500</v>
      </c>
      <c r="D40" s="28">
        <v>11</v>
      </c>
      <c r="E40" s="30">
        <v>2392500</v>
      </c>
      <c r="F40" s="31">
        <v>0.70000000000000007</v>
      </c>
      <c r="G40" s="30">
        <v>1674750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4"/>
  <sheetViews>
    <sheetView workbookViewId="0">
      <selection sqref="A1:D1"/>
    </sheetView>
  </sheetViews>
  <sheetFormatPr defaultRowHeight="16.5" x14ac:dyDescent="0.3"/>
  <cols>
    <col min="1" max="1" width="12.125" customWidth="1"/>
    <col min="2" max="4" width="21.875" customWidth="1"/>
  </cols>
  <sheetData>
    <row r="1" spans="1:4" ht="20.25" x14ac:dyDescent="0.3">
      <c r="A1" s="55" t="s">
        <v>114</v>
      </c>
      <c r="B1" s="55"/>
      <c r="C1" s="55"/>
      <c r="D1" s="55"/>
    </row>
    <row r="2" spans="1:4" ht="17.25" x14ac:dyDescent="0.3">
      <c r="A2" s="32"/>
      <c r="B2" s="32"/>
      <c r="C2" s="32"/>
      <c r="D2" s="32"/>
    </row>
    <row r="3" spans="1:4" x14ac:dyDescent="0.3">
      <c r="A3" s="33" t="s">
        <v>115</v>
      </c>
      <c r="B3" s="34" t="s">
        <v>116</v>
      </c>
      <c r="C3" s="34" t="s">
        <v>117</v>
      </c>
      <c r="D3" s="34" t="s">
        <v>118</v>
      </c>
    </row>
    <row r="4" spans="1:4" x14ac:dyDescent="0.3">
      <c r="A4" s="33" t="s">
        <v>119</v>
      </c>
      <c r="B4" s="33">
        <v>37200</v>
      </c>
      <c r="C4" s="33">
        <v>33145</v>
      </c>
      <c r="D4" s="33">
        <v>71766</v>
      </c>
    </row>
    <row r="5" spans="1:4" x14ac:dyDescent="0.3">
      <c r="A5" s="33" t="s">
        <v>120</v>
      </c>
      <c r="B5" s="33">
        <v>332601</v>
      </c>
      <c r="C5" s="33">
        <v>78432</v>
      </c>
      <c r="D5" s="33">
        <v>411059</v>
      </c>
    </row>
    <row r="6" spans="1:4" x14ac:dyDescent="0.3">
      <c r="A6" s="33" t="s">
        <v>121</v>
      </c>
      <c r="B6" s="33">
        <v>202235</v>
      </c>
      <c r="C6" s="33">
        <v>104205</v>
      </c>
      <c r="D6" s="33">
        <v>306554</v>
      </c>
    </row>
    <row r="7" spans="1:4" x14ac:dyDescent="0.3">
      <c r="A7" s="33" t="s">
        <v>122</v>
      </c>
      <c r="B7" s="33">
        <v>733539</v>
      </c>
      <c r="C7" s="33">
        <v>115372</v>
      </c>
      <c r="D7" s="33">
        <v>850356</v>
      </c>
    </row>
    <row r="8" spans="1:4" x14ac:dyDescent="0.3">
      <c r="A8" s="33" t="s">
        <v>123</v>
      </c>
      <c r="B8" s="33">
        <v>209384</v>
      </c>
      <c r="C8" s="33">
        <v>257351</v>
      </c>
      <c r="D8" s="33">
        <v>469882</v>
      </c>
    </row>
    <row r="30" spans="1:1" x14ac:dyDescent="0.3">
      <c r="A30" s="49" t="s">
        <v>161</v>
      </c>
    </row>
    <row r="31" spans="1:1" x14ac:dyDescent="0.3">
      <c r="A31" s="49" t="s">
        <v>162</v>
      </c>
    </row>
    <row r="32" spans="1:1" x14ac:dyDescent="0.3">
      <c r="A32" s="49" t="s">
        <v>163</v>
      </c>
    </row>
    <row r="33" spans="1:1" x14ac:dyDescent="0.3">
      <c r="A33" s="49" t="s">
        <v>164</v>
      </c>
    </row>
    <row r="34" spans="1:1" x14ac:dyDescent="0.3">
      <c r="A34" s="49" t="s">
        <v>165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B6:G22"/>
  <sheetViews>
    <sheetView workbookViewId="0">
      <selection activeCell="F7" sqref="F7"/>
    </sheetView>
  </sheetViews>
  <sheetFormatPr defaultColWidth="8.625" defaultRowHeight="16.5" x14ac:dyDescent="0.3"/>
  <cols>
    <col min="1" max="1" width="8.625" style="39"/>
    <col min="2" max="3" width="11.625" style="39" customWidth="1"/>
    <col min="4" max="5" width="11.625" style="46" customWidth="1"/>
    <col min="6" max="6" width="11.625" style="39" customWidth="1"/>
    <col min="7" max="16384" width="8.625" style="39"/>
  </cols>
  <sheetData>
    <row r="6" spans="2:6" x14ac:dyDescent="0.3">
      <c r="B6" s="40" t="s">
        <v>132</v>
      </c>
      <c r="C6" s="41" t="s">
        <v>133</v>
      </c>
      <c r="D6" s="44" t="s">
        <v>134</v>
      </c>
      <c r="E6" s="44" t="s">
        <v>135</v>
      </c>
      <c r="F6" s="41" t="s">
        <v>136</v>
      </c>
    </row>
    <row r="7" spans="2:6" x14ac:dyDescent="0.3">
      <c r="B7" s="42" t="s">
        <v>137</v>
      </c>
      <c r="C7" s="43">
        <v>20</v>
      </c>
      <c r="D7" s="45">
        <v>80000</v>
      </c>
      <c r="E7" s="45">
        <v>83200</v>
      </c>
      <c r="F7" s="47">
        <f>(E7-D7)/D7*100</f>
        <v>4</v>
      </c>
    </row>
    <row r="8" spans="2:6" x14ac:dyDescent="0.3">
      <c r="B8" s="42" t="s">
        <v>138</v>
      </c>
      <c r="C8" s="43">
        <v>30</v>
      </c>
      <c r="D8" s="45">
        <v>95000</v>
      </c>
      <c r="E8" s="45">
        <v>125000</v>
      </c>
      <c r="F8" s="47">
        <f t="shared" ref="F8:F17" si="0">(E8-D8)/D8*100</f>
        <v>31.578947368421051</v>
      </c>
    </row>
    <row r="9" spans="2:6" x14ac:dyDescent="0.3">
      <c r="B9" s="42" t="s">
        <v>139</v>
      </c>
      <c r="C9" s="43">
        <v>25</v>
      </c>
      <c r="D9" s="45">
        <v>75000</v>
      </c>
      <c r="E9" s="45">
        <v>70000</v>
      </c>
      <c r="F9" s="47">
        <f t="shared" si="0"/>
        <v>-6.666666666666667</v>
      </c>
    </row>
    <row r="10" spans="2:6" x14ac:dyDescent="0.3">
      <c r="B10" s="42" t="s">
        <v>140</v>
      </c>
      <c r="C10" s="43">
        <v>10</v>
      </c>
      <c r="D10" s="45">
        <v>110500</v>
      </c>
      <c r="E10" s="45">
        <v>145000</v>
      </c>
      <c r="F10" s="47">
        <f t="shared" si="0"/>
        <v>31.221719457013574</v>
      </c>
    </row>
    <row r="11" spans="2:6" x14ac:dyDescent="0.3">
      <c r="B11" s="42" t="s">
        <v>141</v>
      </c>
      <c r="C11" s="43">
        <v>35</v>
      </c>
      <c r="D11" s="45">
        <v>306000</v>
      </c>
      <c r="E11" s="45">
        <v>385500</v>
      </c>
      <c r="F11" s="47">
        <f t="shared" si="0"/>
        <v>25.980392156862749</v>
      </c>
    </row>
    <row r="12" spans="2:6" x14ac:dyDescent="0.3">
      <c r="B12" s="42" t="s">
        <v>142</v>
      </c>
      <c r="C12" s="43">
        <v>50</v>
      </c>
      <c r="D12" s="45">
        <v>290000</v>
      </c>
      <c r="E12" s="45">
        <v>290000</v>
      </c>
      <c r="F12" s="47">
        <f t="shared" si="0"/>
        <v>0</v>
      </c>
    </row>
    <row r="13" spans="2:6" x14ac:dyDescent="0.3">
      <c r="B13" s="42" t="s">
        <v>143</v>
      </c>
      <c r="C13" s="43">
        <v>40</v>
      </c>
      <c r="D13" s="45">
        <v>248000</v>
      </c>
      <c r="E13" s="45">
        <v>332000</v>
      </c>
      <c r="F13" s="47">
        <f t="shared" si="0"/>
        <v>33.87096774193548</v>
      </c>
    </row>
    <row r="14" spans="2:6" x14ac:dyDescent="0.3">
      <c r="B14" s="42" t="s">
        <v>144</v>
      </c>
      <c r="C14" s="43">
        <v>45</v>
      </c>
      <c r="D14" s="45">
        <v>75000</v>
      </c>
      <c r="E14" s="45">
        <v>72000</v>
      </c>
      <c r="F14" s="47">
        <f t="shared" si="0"/>
        <v>-4</v>
      </c>
    </row>
    <row r="15" spans="2:6" x14ac:dyDescent="0.3">
      <c r="B15" s="42" t="s">
        <v>145</v>
      </c>
      <c r="C15" s="43">
        <v>28</v>
      </c>
      <c r="D15" s="45">
        <v>320000</v>
      </c>
      <c r="E15" s="45">
        <v>301500</v>
      </c>
      <c r="F15" s="47">
        <f t="shared" si="0"/>
        <v>-5.78125</v>
      </c>
    </row>
    <row r="16" spans="2:6" x14ac:dyDescent="0.3">
      <c r="B16" s="42" t="s">
        <v>146</v>
      </c>
      <c r="C16" s="43">
        <v>60</v>
      </c>
      <c r="D16" s="45">
        <v>50800</v>
      </c>
      <c r="E16" s="45">
        <v>59000</v>
      </c>
      <c r="F16" s="47">
        <f t="shared" si="0"/>
        <v>16.141732283464567</v>
      </c>
    </row>
    <row r="17" spans="2:7" x14ac:dyDescent="0.3">
      <c r="B17" s="42" t="s">
        <v>147</v>
      </c>
      <c r="C17" s="43">
        <v>5</v>
      </c>
      <c r="D17" s="45">
        <v>76900</v>
      </c>
      <c r="E17" s="45">
        <v>76900</v>
      </c>
      <c r="F17" s="47">
        <f t="shared" si="0"/>
        <v>0</v>
      </c>
    </row>
    <row r="21" spans="2:7" x14ac:dyDescent="0.3">
      <c r="B21" s="39" t="s">
        <v>167</v>
      </c>
      <c r="C21" s="39" t="s">
        <v>168</v>
      </c>
      <c r="D21" s="46" t="s">
        <v>169</v>
      </c>
      <c r="E21" s="46" t="s">
        <v>170</v>
      </c>
      <c r="F21" s="39" t="s">
        <v>171</v>
      </c>
      <c r="G21" s="39" t="s">
        <v>172</v>
      </c>
    </row>
    <row r="22" spans="2:7" x14ac:dyDescent="0.3">
      <c r="B22" s="39" t="s">
        <v>173</v>
      </c>
      <c r="C22" s="39">
        <v>100</v>
      </c>
      <c r="D22" s="46">
        <v>86701</v>
      </c>
      <c r="E22" s="46">
        <v>81400</v>
      </c>
      <c r="F22" s="58">
        <f>(E22-D22)</f>
        <v>-5301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B1:K14"/>
  <sheetViews>
    <sheetView workbookViewId="0">
      <selection activeCell="H8" sqref="H8"/>
    </sheetView>
  </sheetViews>
  <sheetFormatPr defaultRowHeight="16.5" x14ac:dyDescent="0.3"/>
  <cols>
    <col min="2" max="4" width="12.125" customWidth="1"/>
    <col min="5" max="5" width="17.625" customWidth="1"/>
    <col min="6" max="6" width="12.125" customWidth="1"/>
    <col min="11" max="11" width="9.625" customWidth="1"/>
  </cols>
  <sheetData>
    <row r="1" spans="2:11" ht="20.25" x14ac:dyDescent="0.3">
      <c r="B1" s="56" t="s">
        <v>124</v>
      </c>
      <c r="C1" s="56"/>
      <c r="D1" s="56"/>
      <c r="E1" s="56"/>
      <c r="F1" s="56"/>
    </row>
    <row r="2" spans="2:11" x14ac:dyDescent="0.3">
      <c r="B2" s="27"/>
      <c r="C2" s="27"/>
      <c r="D2" s="27"/>
      <c r="E2" s="27"/>
      <c r="F2" s="27"/>
    </row>
    <row r="3" spans="2:11" x14ac:dyDescent="0.3">
      <c r="B3" s="35" t="s">
        <v>125</v>
      </c>
      <c r="C3" s="36" t="s">
        <v>52</v>
      </c>
      <c r="D3" s="35" t="s">
        <v>126</v>
      </c>
      <c r="E3" s="36" t="s">
        <v>127</v>
      </c>
      <c r="F3" s="37" t="s">
        <v>128</v>
      </c>
      <c r="K3" s="36" t="s">
        <v>129</v>
      </c>
    </row>
    <row r="4" spans="2:11" x14ac:dyDescent="0.3">
      <c r="B4" s="35"/>
      <c r="C4" s="36"/>
      <c r="D4" s="35"/>
      <c r="E4" s="36"/>
      <c r="F4" s="35"/>
      <c r="K4" s="35" t="s">
        <v>85</v>
      </c>
    </row>
    <row r="5" spans="2:11" x14ac:dyDescent="0.3">
      <c r="B5" s="35"/>
      <c r="C5" s="36"/>
      <c r="D5" s="35"/>
      <c r="E5" s="36"/>
      <c r="F5" s="35"/>
      <c r="K5" s="35" t="s">
        <v>90</v>
      </c>
    </row>
    <row r="6" spans="2:11" x14ac:dyDescent="0.3">
      <c r="B6" s="35"/>
      <c r="C6" s="35"/>
      <c r="D6" s="36"/>
      <c r="E6" s="36"/>
      <c r="F6" s="35"/>
      <c r="K6" s="35" t="s">
        <v>82</v>
      </c>
    </row>
    <row r="7" spans="2:11" x14ac:dyDescent="0.3">
      <c r="B7" s="35"/>
      <c r="C7" s="35"/>
      <c r="D7" s="36"/>
      <c r="E7" s="36"/>
      <c r="F7" s="35"/>
      <c r="K7" s="35" t="s">
        <v>79</v>
      </c>
    </row>
    <row r="8" spans="2:11" x14ac:dyDescent="0.3">
      <c r="B8" s="35"/>
      <c r="C8" s="35"/>
      <c r="D8" s="36"/>
      <c r="E8" s="36"/>
      <c r="F8" s="35"/>
      <c r="K8" s="35" t="s">
        <v>80</v>
      </c>
    </row>
    <row r="9" spans="2:11" x14ac:dyDescent="0.3">
      <c r="B9" s="35"/>
      <c r="C9" s="35"/>
      <c r="D9" s="36"/>
      <c r="E9" s="36"/>
      <c r="F9" s="35"/>
    </row>
    <row r="10" spans="2:11" x14ac:dyDescent="0.3">
      <c r="B10" s="35"/>
      <c r="C10" s="35"/>
      <c r="D10" s="36"/>
      <c r="E10" s="38"/>
      <c r="F10" s="35"/>
    </row>
    <row r="11" spans="2:11" x14ac:dyDescent="0.3">
      <c r="B11" s="35"/>
      <c r="C11" s="35"/>
      <c r="D11" s="36"/>
      <c r="E11" s="38"/>
      <c r="F11" s="35"/>
    </row>
    <row r="12" spans="2:11" x14ac:dyDescent="0.3">
      <c r="B12" s="35"/>
      <c r="C12" s="35"/>
      <c r="D12" s="36"/>
      <c r="E12" s="36"/>
      <c r="F12" s="35"/>
    </row>
    <row r="13" spans="2:11" x14ac:dyDescent="0.3">
      <c r="B13" s="35"/>
      <c r="C13" s="35"/>
      <c r="D13" s="36"/>
      <c r="E13" s="38"/>
      <c r="F13" s="35"/>
    </row>
    <row r="14" spans="2:11" x14ac:dyDescent="0.3">
      <c r="B14" s="35"/>
      <c r="C14" s="35"/>
      <c r="D14" s="36"/>
      <c r="E14" s="38"/>
      <c r="F14" s="35"/>
    </row>
  </sheetData>
  <mergeCells count="1">
    <mergeCell ref="B1:F1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자전거구입">
          <controlPr defaultSize="0" autoLine="0" r:id="rId4">
            <anchor moveWithCells="1">
              <from>
                <xdr:col>7</xdr:col>
                <xdr:colOff>0</xdr:colOff>
                <xdr:row>2</xdr:row>
                <xdr:rowOff>19050</xdr:rowOff>
              </from>
              <to>
                <xdr:col>9</xdr:col>
                <xdr:colOff>190500</xdr:colOff>
                <xdr:row>3</xdr:row>
                <xdr:rowOff>161925</xdr:rowOff>
              </to>
            </anchor>
          </controlPr>
        </control>
      </mc:Choice>
      <mc:Fallback>
        <control shapeId="7169" r:id="rId3" name="자전거구입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기본작업1</vt:lpstr>
      <vt:lpstr>기본작업2</vt:lpstr>
      <vt:lpstr>계산작업</vt:lpstr>
      <vt:lpstr>분석작업1</vt:lpstr>
      <vt:lpstr>분석작업2</vt:lpstr>
      <vt:lpstr>기타작업1</vt:lpstr>
      <vt:lpstr>기타작업2</vt:lpstr>
      <vt:lpstr>기타작업3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김지원</cp:lastModifiedBy>
  <dcterms:created xsi:type="dcterms:W3CDTF">2020-04-07T06:00:22Z</dcterms:created>
  <dcterms:modified xsi:type="dcterms:W3CDTF">2021-02-19T04:22:54Z</dcterms:modified>
</cp:coreProperties>
</file>