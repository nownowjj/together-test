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1년)\1급\excel\스프레드시트(파일) - 최종\이론\"/>
    </mc:Choice>
  </mc:AlternateContent>
  <bookViews>
    <workbookView xWindow="0" yWindow="0" windowWidth="25600" windowHeight="12170" tabRatio="919"/>
  </bookViews>
  <sheets>
    <sheet name="차트1" sheetId="1" r:id="rId1"/>
    <sheet name="차트1(결과)" sheetId="7" r:id="rId2"/>
    <sheet name="차트2" sheetId="8" r:id="rId3"/>
    <sheet name="차트2(결과)" sheetId="2" r:id="rId4"/>
    <sheet name="매크로1" sheetId="9" r:id="rId5"/>
    <sheet name="매크로1(결과)" sheetId="11" r:id="rId6"/>
    <sheet name="매크로2" sheetId="10" r:id="rId7"/>
    <sheet name="매크로2(결과)" sheetId="12" r:id="rId8"/>
    <sheet name="사원현황" sheetId="4" r:id="rId9"/>
    <sheet name="수강등록" sheetId="5" r:id="rId10"/>
    <sheet name="조회" sheetId="6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1" l="1"/>
  <c r="E15" i="11"/>
  <c r="F14" i="11"/>
  <c r="E14" i="11"/>
  <c r="F13" i="11"/>
  <c r="E13" i="11"/>
  <c r="F12" i="11"/>
  <c r="E12" i="11"/>
  <c r="F11" i="11"/>
  <c r="E11" i="11"/>
  <c r="F10" i="11"/>
  <c r="E10" i="11"/>
  <c r="F9" i="11"/>
  <c r="E9" i="11"/>
  <c r="F8" i="11"/>
  <c r="E8" i="11"/>
  <c r="F7" i="11"/>
  <c r="E7" i="11"/>
  <c r="E6" i="11"/>
  <c r="F15" i="9" l="1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E6" i="9"/>
  <c r="E8" i="8" l="1"/>
  <c r="E7" i="8"/>
  <c r="E6" i="8"/>
  <c r="E5" i="8"/>
  <c r="E8" i="2"/>
  <c r="E7" i="2"/>
  <c r="E6" i="2"/>
  <c r="E5" i="2"/>
</calcChain>
</file>

<file path=xl/sharedStrings.xml><?xml version="1.0" encoding="utf-8"?>
<sst xmlns="http://schemas.openxmlformats.org/spreadsheetml/2006/main" count="257" uniqueCount="129">
  <si>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</si>
  <si>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</si>
  <si>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</si>
  <si>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</si>
  <si>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</si>
  <si>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</si>
  <si>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</si>
  <si>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</si>
  <si>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</si>
  <si>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</si>
  <si>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</si>
  <si>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</si>
  <si>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</si>
  <si>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</si>
  <si>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</si>
  <si>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</si>
  <si>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</si>
  <si>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</si>
  <si>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</si>
  <si>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</si>
  <si>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</si>
  <si>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</si>
  <si>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</si>
  <si>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</si>
  <si>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</si>
  <si>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</si>
  <si>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</si>
  <si>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</si>
  <si>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</si>
  <si>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</si>
  <si>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</si>
  <si>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</si>
  <si>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</si>
  <si>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</si>
  <si>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</si>
  <si>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</si>
  <si>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</si>
  <si>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신입사원현황</t>
    <phoneticPr fontId="4" type="noConversion"/>
  </si>
  <si>
    <t>부서명</t>
    <phoneticPr fontId="9" type="noConversion"/>
  </si>
  <si>
    <t>사원명</t>
    <phoneticPr fontId="9" type="noConversion"/>
  </si>
  <si>
    <t>입사일자</t>
    <phoneticPr fontId="4" type="noConversion"/>
  </si>
  <si>
    <t>총무부</t>
    <phoneticPr fontId="9" type="noConversion"/>
  </si>
  <si>
    <t>인사부</t>
    <phoneticPr fontId="9" type="noConversion"/>
  </si>
  <si>
    <t>영업부</t>
    <phoneticPr fontId="9" type="noConversion"/>
  </si>
  <si>
    <t>전산부</t>
    <phoneticPr fontId="9" type="noConversion"/>
  </si>
  <si>
    <t>관리부</t>
    <phoneticPr fontId="9" type="noConversion"/>
  </si>
  <si>
    <t>[표1]</t>
    <phoneticPr fontId="4" type="noConversion"/>
  </si>
  <si>
    <t>접수자</t>
    <phoneticPr fontId="4" type="noConversion"/>
  </si>
  <si>
    <t>수강개월</t>
    <phoneticPr fontId="4" type="noConversion"/>
  </si>
  <si>
    <t>접수코드</t>
    <phoneticPr fontId="4" type="noConversion"/>
  </si>
  <si>
    <t>과목</t>
  </si>
  <si>
    <t>과목강사</t>
    <phoneticPr fontId="4" type="noConversion"/>
  </si>
  <si>
    <t>수강료</t>
    <phoneticPr fontId="4" type="noConversion"/>
  </si>
  <si>
    <t>[참조표]</t>
    <phoneticPr fontId="4" type="noConversion"/>
  </si>
  <si>
    <t>접수코드</t>
  </si>
  <si>
    <t>과목</t>
    <phoneticPr fontId="4" type="noConversion"/>
  </si>
  <si>
    <t>월수강료</t>
    <phoneticPr fontId="4" type="noConversion"/>
  </si>
  <si>
    <t>A100</t>
  </si>
  <si>
    <t>국어</t>
    <phoneticPr fontId="4" type="noConversion"/>
  </si>
  <si>
    <t>신동길</t>
  </si>
  <si>
    <t>A200</t>
  </si>
  <si>
    <t>고전</t>
    <phoneticPr fontId="4" type="noConversion"/>
  </si>
  <si>
    <t>김솔유</t>
    <phoneticPr fontId="4" type="noConversion"/>
  </si>
  <si>
    <t>B100</t>
    <phoneticPr fontId="4" type="noConversion"/>
  </si>
  <si>
    <t>국사</t>
  </si>
  <si>
    <t>고두심</t>
  </si>
  <si>
    <t>B200</t>
    <phoneticPr fontId="4" type="noConversion"/>
  </si>
  <si>
    <t>현대사</t>
    <phoneticPr fontId="4" type="noConversion"/>
  </si>
  <si>
    <t>노현정</t>
  </si>
  <si>
    <t>C100</t>
    <phoneticPr fontId="4" type="noConversion"/>
  </si>
  <si>
    <t>영어</t>
    <phoneticPr fontId="4" type="noConversion"/>
  </si>
  <si>
    <t>조예슬</t>
  </si>
  <si>
    <t>C200</t>
    <phoneticPr fontId="4" type="noConversion"/>
  </si>
  <si>
    <t>문법</t>
    <phoneticPr fontId="4" type="noConversion"/>
  </si>
  <si>
    <t>박종훈</t>
    <phoneticPr fontId="4" type="noConversion"/>
  </si>
  <si>
    <t>D100</t>
    <phoneticPr fontId="4" type="noConversion"/>
  </si>
  <si>
    <t>수학</t>
    <phoneticPr fontId="4" type="noConversion"/>
  </si>
  <si>
    <t>정솔희</t>
    <phoneticPr fontId="4" type="noConversion"/>
  </si>
  <si>
    <t>D200</t>
    <phoneticPr fontId="4" type="noConversion"/>
  </si>
  <si>
    <t>과탐</t>
    <phoneticPr fontId="4" type="noConversion"/>
  </si>
  <si>
    <t>김태희</t>
  </si>
  <si>
    <t>E300</t>
    <phoneticPr fontId="4" type="noConversion"/>
  </si>
  <si>
    <t>사탐</t>
    <phoneticPr fontId="4" type="noConversion"/>
  </si>
  <si>
    <t>유인촌</t>
  </si>
  <si>
    <t>보험종류</t>
    <phoneticPr fontId="4" type="noConversion"/>
  </si>
  <si>
    <t>월납부액</t>
    <phoneticPr fontId="4" type="noConversion"/>
  </si>
  <si>
    <t>납부총액</t>
    <phoneticPr fontId="4" type="noConversion"/>
  </si>
  <si>
    <t>이자총액</t>
    <phoneticPr fontId="4" type="noConversion"/>
  </si>
  <si>
    <t>건강저축보험</t>
    <phoneticPr fontId="4" type="noConversion"/>
  </si>
  <si>
    <t>주택저축보험</t>
    <phoneticPr fontId="4" type="noConversion"/>
  </si>
  <si>
    <t>목돈마련보험</t>
    <phoneticPr fontId="4" type="noConversion"/>
  </si>
  <si>
    <t>연금저축보험</t>
    <phoneticPr fontId="4" type="noConversion"/>
  </si>
  <si>
    <t>무지개저축보험</t>
    <phoneticPr fontId="4" type="noConversion"/>
  </si>
  <si>
    <t>연도</t>
    <phoneticPr fontId="4" type="noConversion"/>
  </si>
  <si>
    <t>소계</t>
    <phoneticPr fontId="4" type="noConversion"/>
  </si>
  <si>
    <t>구성비(%)</t>
    <phoneticPr fontId="4" type="noConversion"/>
  </si>
  <si>
    <t>증감율(%)</t>
    <phoneticPr fontId="4" type="noConversion"/>
  </si>
  <si>
    <t>2011년</t>
  </si>
  <si>
    <t>2012년</t>
  </si>
  <si>
    <t>2013년</t>
  </si>
  <si>
    <t>2014년</t>
  </si>
  <si>
    <t>인구</t>
    <phoneticPr fontId="4" type="noConversion"/>
  </si>
  <si>
    <t>2015년</t>
  </si>
  <si>
    <t>2016년</t>
  </si>
  <si>
    <t>2017년</t>
  </si>
  <si>
    <t>2018년</t>
  </si>
  <si>
    <t>2019년</t>
  </si>
  <si>
    <t>2020년</t>
  </si>
  <si>
    <t>학교명</t>
    <phoneticPr fontId="3" type="noConversion"/>
  </si>
  <si>
    <t>이름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</si>
  <si>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</si>
  <si>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</si>
  <si>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</si>
  <si>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서초고</t>
    <phoneticPr fontId="3" type="noConversion"/>
  </si>
  <si>
    <t>박유진</t>
    <phoneticPr fontId="3" type="noConversion"/>
  </si>
  <si>
    <t>양재고</t>
    <phoneticPr fontId="3" type="noConversion"/>
  </si>
  <si>
    <t>엄정아</t>
    <phoneticPr fontId="3" type="noConversion"/>
  </si>
  <si>
    <t>반포고</t>
    <phoneticPr fontId="3" type="noConversion"/>
  </si>
  <si>
    <t>전수아</t>
    <phoneticPr fontId="3" type="noConversion"/>
  </si>
  <si>
    <t>잠원고</t>
    <phoneticPr fontId="3" type="noConversion"/>
  </si>
  <si>
    <t>김정림</t>
    <phoneticPr fontId="3" type="noConversion"/>
  </si>
  <si>
    <t>노원고</t>
    <phoneticPr fontId="3" type="noConversion"/>
  </si>
  <si>
    <t>강남길</t>
    <phoneticPr fontId="3" type="noConversion"/>
  </si>
  <si>
    <t>논현고</t>
    <phoneticPr fontId="3" type="noConversion"/>
  </si>
  <si>
    <t>이진욱</t>
    <phoneticPr fontId="3" type="noConversion"/>
  </si>
  <si>
    <t>우면고</t>
    <phoneticPr fontId="3" type="noConversion"/>
  </si>
  <si>
    <t>오안국</t>
    <phoneticPr fontId="3" type="noConversion"/>
  </si>
  <si>
    <t>방배고</t>
    <phoneticPr fontId="3" type="noConversion"/>
  </si>
  <si>
    <t>성경수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</si>
</sst>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_-* #,##0.0_-;\-* #,##0.0_-;_-* &quot;-&quot;_-;_-@_-"/>
    <numFmt numFmtId="177" formatCode="#,##0_ "/>
    <numFmt numFmtId="178" formatCode="0.00_ "/>
    <numFmt numFmtId="179" formatCode="#,##0_);[Red]\(#,##0\)"/>
    <numFmt numFmtId="180" formatCode="0.0_ 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/>
    <xf numFmtId="0" fontId="11" fillId="0" borderId="0"/>
  </cellStyleXfs>
  <cellXfs count="5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0" xfId="0" applyNumberFormat="1" applyAlignment="1"/>
    <xf numFmtId="0" fontId="5" fillId="0" borderId="3" xfId="0" applyNumberFormat="1" applyFont="1" applyBorder="1" applyAlignment="1">
      <alignment horizontal="center" vertical="center"/>
    </xf>
    <xf numFmtId="41" fontId="5" fillId="0" borderId="3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41" fontId="7" fillId="0" borderId="0" xfId="3" applyFont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41" fontId="6" fillId="0" borderId="2" xfId="3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41" fontId="7" fillId="0" borderId="3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41" fontId="7" fillId="0" borderId="1" xfId="3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41" fontId="6" fillId="0" borderId="7" xfId="3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 wrapText="1"/>
    </xf>
    <xf numFmtId="41" fontId="7" fillId="0" borderId="9" xfId="3" applyNumberFormat="1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12" fillId="0" borderId="3" xfId="4" applyFont="1" applyFill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41" fontId="7" fillId="0" borderId="11" xfId="3" applyNumberFormat="1" applyFont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41" fontId="7" fillId="0" borderId="14" xfId="3" applyFont="1" applyBorder="1" applyAlignment="1">
      <alignment horizontal="center" vertical="center"/>
    </xf>
    <xf numFmtId="177" fontId="7" fillId="0" borderId="15" xfId="3" applyNumberFormat="1" applyFont="1" applyBorder="1" applyAlignment="1">
      <alignment horizontal="center" vertical="center"/>
    </xf>
    <xf numFmtId="41" fontId="7" fillId="0" borderId="16" xfId="3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41" fontId="7" fillId="0" borderId="18" xfId="3" applyFont="1" applyFill="1" applyBorder="1" applyAlignment="1">
      <alignment horizontal="center" vertical="center"/>
    </xf>
    <xf numFmtId="177" fontId="7" fillId="0" borderId="19" xfId="3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80" fontId="7" fillId="0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5">
    <cellStyle name="쉼표 [0]" xfId="1" builtinId="6"/>
    <cellStyle name="쉼표 [0] 2" xfId="3"/>
    <cellStyle name="표준" xfId="0" builtinId="0"/>
    <cellStyle name="표준 2" xfId="2"/>
    <cellStyle name="표준_급여계산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자재부 기본급</a:t>
            </a:r>
            <a:r>
              <a:rPr lang="en-US" altLang="ko-KR" b="1">
                <a:latin typeface="궁서체" panose="02030609000101010101" pitchFamily="17" charset="-127"/>
                <a:ea typeface="궁서체" panose="02030609000101010101" pitchFamily="17" charset="-127"/>
              </a:rPr>
              <a:t>/</a:t>
            </a: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수당현황</a:t>
            </a:r>
          </a:p>
        </c:rich>
      </c:tx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'차트1(결과)'!$F$3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'차트1(결과)'!$G$3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B5-4FA0-A6C4-58AED0A73B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  <c:max val="1000000"/>
          <c:min val="6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  <c:majorUnit val="100000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차트2!$E$4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B8-4BBF-AF3D-1F3FF11472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B8-4BBF-AF3D-1F3FF11472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B8-4BBF-AF3D-1F3FF11472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B8-4BBF-AF3D-1F3FF1147205}"/>
              </c:ext>
            </c:extLst>
          </c:dPt>
          <c:cat>
            <c:strRef>
              <c:f>차트2!$A$5:$A$8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차트2!$E$5:$E$8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B8-4BBF-AF3D-1F3FF1147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'차트2(결과)'!$A$2</c:f>
          <c:strCache>
            <c:ptCount val="1"/>
            <c:pt idx="0">
              <c:v>부서별 성적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'차트2(결과)'!$E$4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3EA-4DB9-BB63-13DAFEC5BE18}"/>
              </c:ext>
            </c:extLst>
          </c:dPt>
          <c:dPt>
            <c:idx val="1"/>
            <c:bubble3D val="0"/>
            <c:explosion val="18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9D-4827-9128-3B2663C639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3EA-4DB9-BB63-13DAFEC5BE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3EA-4DB9-BB63-13DAFEC5BE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'차트2(결과)'!$A$5:$A$8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'차트2(결과)'!$E$5:$E$8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D-4827-9128-3B2663C63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622300</xdr:colOff>
      <xdr:row>3</xdr:row>
      <xdr:rowOff>146050</xdr:rowOff>
    </xdr:from>
    <xdr:to>
      <xdr:col>5</xdr:col>
      <xdr:colOff>127000</xdr:colOff>
      <xdr:row>5</xdr:row>
      <xdr:rowOff>50800</xdr:rowOff>
    </xdr:to>
    <xdr:sp macro="" textlink="">
      <xdr:nvSpPr>
        <xdr:cNvPr id="3" name="타원 2"/>
        <xdr:cNvSpPr/>
      </xdr:nvSpPr>
      <xdr:spPr>
        <a:xfrm>
          <a:off x="2603500" y="901700"/>
          <a:ext cx="825500" cy="336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374650</xdr:colOff>
      <xdr:row>5</xdr:row>
      <xdr:rowOff>50800</xdr:rowOff>
    </xdr:from>
    <xdr:to>
      <xdr:col>5</xdr:col>
      <xdr:colOff>450850</xdr:colOff>
      <xdr:row>14</xdr:row>
      <xdr:rowOff>120650</xdr:rowOff>
    </xdr:to>
    <xdr:cxnSp macro="">
      <xdr:nvCxnSpPr>
        <xdr:cNvPr id="5" name="직선 화살표 연결선 4"/>
        <xdr:cNvCxnSpPr>
          <a:stCxn id="3" idx="4"/>
        </xdr:cNvCxnSpPr>
      </xdr:nvCxnSpPr>
      <xdr:spPr>
        <a:xfrm>
          <a:off x="3016250" y="1238250"/>
          <a:ext cx="736600" cy="20129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0</xdr:rowOff>
        </xdr:from>
        <xdr:to>
          <xdr:col>6</xdr:col>
          <xdr:colOff>514350</xdr:colOff>
          <xdr:row>4</xdr:row>
          <xdr:rowOff>6350</xdr:rowOff>
        </xdr:to>
        <xdr:sp macro="" textlink="">
          <xdr:nvSpPr>
            <xdr:cNvPr id="3073" name="cmd사원입력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097" name="cmd수강등록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121" name="cmd조회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sqref="A1:I1"/>
    </sheetView>
  </sheetViews>
  <sheetFormatPr defaultRowHeight="17"/>
  <cols>
    <col min="5" max="5" width="10.75" bestFit="1" customWidth="1"/>
  </cols>
  <sheetData>
    <row r="1" spans="1:9" ht="21">
      <c r="A1" s="55" t="s">
        <v>0</v>
      </c>
      <c r="B1" s="55"/>
      <c r="C1" s="55"/>
      <c r="D1" s="55"/>
      <c r="E1" s="55"/>
      <c r="F1" s="55"/>
      <c r="G1" s="55"/>
      <c r="H1" s="55"/>
      <c r="I1" s="55"/>
    </row>
    <row r="2" spans="1:9" ht="21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4"/>
  <sheetViews>
    <sheetView workbookViewId="0">
      <selection sqref="A1:I1"/>
    </sheetView>
  </sheetViews>
  <sheetFormatPr defaultRowHeight="17"/>
  <cols>
    <col min="5" max="5" width="10.75" bestFit="1" customWidth="1"/>
  </cols>
  <sheetData>
    <row r="1" spans="1:9" ht="21">
      <c r="A1" s="55" t="s">
        <v>0</v>
      </c>
      <c r="B1" s="55"/>
      <c r="C1" s="55"/>
      <c r="D1" s="55"/>
      <c r="E1" s="55"/>
      <c r="F1" s="55"/>
      <c r="G1" s="55"/>
      <c r="H1" s="55"/>
      <c r="I1" s="55"/>
    </row>
    <row r="2" spans="1:9" ht="21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8"/>
  <sheetViews>
    <sheetView workbookViewId="0"/>
  </sheetViews>
  <sheetFormatPr defaultRowHeight="17"/>
  <sheetData>
    <row r="2" spans="1:5" ht="25.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8"/>
  <sheetViews>
    <sheetView workbookViewId="0"/>
  </sheetViews>
  <sheetFormatPr defaultRowHeight="17"/>
  <sheetData>
    <row r="2" spans="1:5" ht="25.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F15"/>
  <sheetViews>
    <sheetView workbookViewId="0"/>
  </sheetViews>
  <sheetFormatPr defaultRowHeight="17"/>
  <cols>
    <col min="3" max="4" width="9.5" customWidth="1"/>
    <col min="5" max="5" width="10.6640625" customWidth="1"/>
    <col min="6" max="6" width="10.58203125" customWidth="1"/>
  </cols>
  <sheetData>
    <row r="5" spans="2:6">
      <c r="B5" s="49" t="s">
        <v>93</v>
      </c>
      <c r="C5" s="49" t="s">
        <v>101</v>
      </c>
      <c r="D5" s="49" t="s">
        <v>94</v>
      </c>
      <c r="E5" s="49" t="s">
        <v>95</v>
      </c>
      <c r="F5" s="49" t="s">
        <v>96</v>
      </c>
    </row>
    <row r="6" spans="2:6">
      <c r="B6" s="49" t="s">
        <v>97</v>
      </c>
      <c r="C6" s="51">
        <v>46430</v>
      </c>
      <c r="D6" s="52">
        <v>4400</v>
      </c>
      <c r="E6" s="50">
        <f>D6/C6 * 100</f>
        <v>9.4766314882618996</v>
      </c>
      <c r="F6" s="54">
        <v>0</v>
      </c>
    </row>
    <row r="7" spans="2:6">
      <c r="B7" s="49" t="s">
        <v>98</v>
      </c>
      <c r="C7" s="51">
        <v>46858</v>
      </c>
      <c r="D7" s="52">
        <v>4210</v>
      </c>
      <c r="E7" s="50">
        <f t="shared" ref="E7:E15" si="0">D7/C7 * 100</f>
        <v>8.9845917452729509</v>
      </c>
      <c r="F7" s="54">
        <f>(D7-D6)/D7 * 100</f>
        <v>-4.513064133016627</v>
      </c>
    </row>
    <row r="8" spans="2:6">
      <c r="B8" s="49" t="s">
        <v>99</v>
      </c>
      <c r="C8" s="51">
        <v>47275</v>
      </c>
      <c r="D8" s="52">
        <v>4250</v>
      </c>
      <c r="E8" s="50">
        <f t="shared" si="0"/>
        <v>8.9899524061343197</v>
      </c>
      <c r="F8" s="54">
        <f t="shared" ref="F8:F15" si="1">(D8-D7)/D8 * 100</f>
        <v>0.94117647058823517</v>
      </c>
    </row>
    <row r="9" spans="2:6">
      <c r="B9" s="49" t="s">
        <v>100</v>
      </c>
      <c r="C9" s="51">
        <v>47300</v>
      </c>
      <c r="D9" s="52">
        <v>3985</v>
      </c>
      <c r="E9" s="50">
        <f t="shared" si="0"/>
        <v>8.424947145877379</v>
      </c>
      <c r="F9" s="54">
        <f t="shared" si="1"/>
        <v>-6.6499372647427846</v>
      </c>
    </row>
    <row r="10" spans="2:6">
      <c r="B10" s="49" t="s">
        <v>102</v>
      </c>
      <c r="C10" s="51">
        <v>47450</v>
      </c>
      <c r="D10" s="52">
        <v>3900</v>
      </c>
      <c r="E10" s="50">
        <f t="shared" si="0"/>
        <v>8.2191780821917799</v>
      </c>
      <c r="F10" s="54">
        <f t="shared" si="1"/>
        <v>-2.1794871794871793</v>
      </c>
    </row>
    <row r="11" spans="2:6">
      <c r="B11" s="49" t="s">
        <v>103</v>
      </c>
      <c r="C11" s="51">
        <v>47500</v>
      </c>
      <c r="D11" s="52">
        <v>3900</v>
      </c>
      <c r="E11" s="50">
        <f t="shared" si="0"/>
        <v>8.2105263157894743</v>
      </c>
      <c r="F11" s="54">
        <f t="shared" si="1"/>
        <v>0</v>
      </c>
    </row>
    <row r="12" spans="2:6">
      <c r="B12" s="49" t="s">
        <v>104</v>
      </c>
      <c r="C12" s="51">
        <v>47600</v>
      </c>
      <c r="D12" s="52">
        <v>3797</v>
      </c>
      <c r="E12" s="50">
        <f t="shared" si="0"/>
        <v>7.9768907563025211</v>
      </c>
      <c r="F12" s="54">
        <f t="shared" si="1"/>
        <v>-2.7126678957071371</v>
      </c>
    </row>
    <row r="13" spans="2:6">
      <c r="B13" s="49" t="s">
        <v>105</v>
      </c>
      <c r="C13" s="51">
        <v>47730</v>
      </c>
      <c r="D13" s="52">
        <v>3800</v>
      </c>
      <c r="E13" s="50">
        <f t="shared" si="0"/>
        <v>7.9614498219149388</v>
      </c>
      <c r="F13" s="54">
        <f t="shared" si="1"/>
        <v>7.8947368421052627E-2</v>
      </c>
    </row>
    <row r="14" spans="2:6">
      <c r="B14" s="49" t="s">
        <v>106</v>
      </c>
      <c r="C14" s="51">
        <v>47650</v>
      </c>
      <c r="D14" s="52">
        <v>3520</v>
      </c>
      <c r="E14" s="50">
        <f t="shared" si="0"/>
        <v>7.3871983210912902</v>
      </c>
      <c r="F14" s="54">
        <f t="shared" si="1"/>
        <v>-7.9545454545454541</v>
      </c>
    </row>
    <row r="15" spans="2:6">
      <c r="B15" s="49" t="s">
        <v>107</v>
      </c>
      <c r="C15" s="51">
        <v>46895</v>
      </c>
      <c r="D15" s="52">
        <v>3600</v>
      </c>
      <c r="E15" s="50">
        <f t="shared" si="0"/>
        <v>7.6767245975050651</v>
      </c>
      <c r="F15" s="54">
        <f t="shared" si="1"/>
        <v>2.2222222222222223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5:F15"/>
  <sheetViews>
    <sheetView workbookViewId="0"/>
  </sheetViews>
  <sheetFormatPr defaultRowHeight="17"/>
  <cols>
    <col min="3" max="4" width="9.5" customWidth="1"/>
    <col min="5" max="5" width="10.6640625" customWidth="1"/>
    <col min="6" max="6" width="10.58203125" customWidth="1"/>
  </cols>
  <sheetData>
    <row r="5" spans="2:6">
      <c r="B5" s="49" t="s">
        <v>93</v>
      </c>
      <c r="C5" s="49" t="s">
        <v>101</v>
      </c>
      <c r="D5" s="49" t="s">
        <v>94</v>
      </c>
      <c r="E5" s="49" t="s">
        <v>95</v>
      </c>
      <c r="F5" s="49" t="s">
        <v>96</v>
      </c>
    </row>
    <row r="6" spans="2:6">
      <c r="B6" s="49" t="s">
        <v>97</v>
      </c>
      <c r="C6" s="51">
        <v>46430</v>
      </c>
      <c r="D6" s="52">
        <v>4400</v>
      </c>
      <c r="E6" s="50">
        <f>D6/C6 * 100</f>
        <v>9.4766314882618996</v>
      </c>
      <c r="F6" s="54">
        <v>0</v>
      </c>
    </row>
    <row r="7" spans="2:6">
      <c r="B7" s="49" t="s">
        <v>98</v>
      </c>
      <c r="C7" s="51">
        <v>46858</v>
      </c>
      <c r="D7" s="52">
        <v>4210</v>
      </c>
      <c r="E7" s="50">
        <f t="shared" ref="E7:E15" si="0">D7/C7 * 100</f>
        <v>8.9845917452729509</v>
      </c>
      <c r="F7" s="54">
        <f>(D7-D6)/D7 * 100</f>
        <v>-4.513064133016627</v>
      </c>
    </row>
    <row r="8" spans="2:6">
      <c r="B8" s="49" t="s">
        <v>99</v>
      </c>
      <c r="C8" s="51">
        <v>47275</v>
      </c>
      <c r="D8" s="52">
        <v>4250</v>
      </c>
      <c r="E8" s="50">
        <f t="shared" si="0"/>
        <v>8.9899524061343197</v>
      </c>
      <c r="F8" s="54">
        <f t="shared" ref="F8:F15" si="1">(D8-D7)/D8 * 100</f>
        <v>0.94117647058823517</v>
      </c>
    </row>
    <row r="9" spans="2:6">
      <c r="B9" s="49" t="s">
        <v>100</v>
      </c>
      <c r="C9" s="51">
        <v>47300</v>
      </c>
      <c r="D9" s="52">
        <v>3985</v>
      </c>
      <c r="E9" s="50">
        <f t="shared" si="0"/>
        <v>8.424947145877379</v>
      </c>
      <c r="F9" s="54">
        <f t="shared" si="1"/>
        <v>-6.6499372647427846</v>
      </c>
    </row>
    <row r="10" spans="2:6">
      <c r="B10" s="49" t="s">
        <v>102</v>
      </c>
      <c r="C10" s="51">
        <v>47450</v>
      </c>
      <c r="D10" s="52">
        <v>3900</v>
      </c>
      <c r="E10" s="50">
        <f t="shared" si="0"/>
        <v>8.2191780821917799</v>
      </c>
      <c r="F10" s="54">
        <f t="shared" si="1"/>
        <v>-2.1794871794871793</v>
      </c>
    </row>
    <row r="11" spans="2:6">
      <c r="B11" s="49" t="s">
        <v>103</v>
      </c>
      <c r="C11" s="51">
        <v>47500</v>
      </c>
      <c r="D11" s="52">
        <v>3900</v>
      </c>
      <c r="E11" s="50">
        <f t="shared" si="0"/>
        <v>8.2105263157894743</v>
      </c>
      <c r="F11" s="54">
        <f t="shared" si="1"/>
        <v>0</v>
      </c>
    </row>
    <row r="12" spans="2:6">
      <c r="B12" s="49" t="s">
        <v>104</v>
      </c>
      <c r="C12" s="51">
        <v>47600</v>
      </c>
      <c r="D12" s="52">
        <v>3797</v>
      </c>
      <c r="E12" s="50">
        <f t="shared" si="0"/>
        <v>7.9768907563025211</v>
      </c>
      <c r="F12" s="54">
        <f t="shared" si="1"/>
        <v>-2.7126678957071371</v>
      </c>
    </row>
    <row r="13" spans="2:6">
      <c r="B13" s="49" t="s">
        <v>105</v>
      </c>
      <c r="C13" s="51">
        <v>47730</v>
      </c>
      <c r="D13" s="52">
        <v>3800</v>
      </c>
      <c r="E13" s="50">
        <f t="shared" si="0"/>
        <v>7.9614498219149388</v>
      </c>
      <c r="F13" s="54">
        <f t="shared" si="1"/>
        <v>7.8947368421052627E-2</v>
      </c>
    </row>
    <row r="14" spans="2:6">
      <c r="B14" s="49" t="s">
        <v>106</v>
      </c>
      <c r="C14" s="51">
        <v>47650</v>
      </c>
      <c r="D14" s="52">
        <v>3520</v>
      </c>
      <c r="E14" s="50">
        <f t="shared" si="0"/>
        <v>7.3871983210912902</v>
      </c>
      <c r="F14" s="54">
        <f t="shared" si="1"/>
        <v>-7.9545454545454541</v>
      </c>
    </row>
    <row r="15" spans="2:6">
      <c r="B15" s="49" t="s">
        <v>107</v>
      </c>
      <c r="C15" s="51">
        <v>46895</v>
      </c>
      <c r="D15" s="52">
        <v>3600</v>
      </c>
      <c r="E15" s="50">
        <f t="shared" si="0"/>
        <v>7.6767245975050651</v>
      </c>
      <c r="F15" s="54">
        <f t="shared" si="1"/>
        <v>2.2222222222222223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5:F13"/>
  <sheetViews>
    <sheetView workbookViewId="0"/>
  </sheetViews>
  <sheetFormatPr defaultRowHeight="17"/>
  <sheetData>
    <row r="5" spans="2:6">
      <c r="B5" s="7" t="s">
        <v>108</v>
      </c>
      <c r="C5" s="7" t="s">
        <v>109</v>
      </c>
      <c r="D5" s="7" t="s">
        <v>110</v>
      </c>
      <c r="E5" s="7" t="s">
        <v>111</v>
      </c>
      <c r="F5" s="7" t="s">
        <v>112</v>
      </c>
    </row>
    <row r="6" spans="2:6">
      <c r="B6" s="7" t="s">
        <v>113</v>
      </c>
      <c r="C6" s="7" t="s">
        <v>114</v>
      </c>
      <c r="D6" s="7">
        <v>1</v>
      </c>
      <c r="E6" s="16">
        <v>0</v>
      </c>
      <c r="F6" s="7">
        <v>3</v>
      </c>
    </row>
    <row r="7" spans="2:6">
      <c r="B7" s="7" t="s">
        <v>115</v>
      </c>
      <c r="C7" s="7" t="s">
        <v>116</v>
      </c>
      <c r="D7" s="7">
        <v>0</v>
      </c>
      <c r="E7" s="16">
        <v>1</v>
      </c>
      <c r="F7" s="7">
        <v>1</v>
      </c>
    </row>
    <row r="8" spans="2:6">
      <c r="B8" s="7" t="s">
        <v>117</v>
      </c>
      <c r="C8" s="7" t="s">
        <v>118</v>
      </c>
      <c r="D8" s="7">
        <v>2</v>
      </c>
      <c r="E8" s="16">
        <v>1</v>
      </c>
      <c r="F8" s="7">
        <v>0</v>
      </c>
    </row>
    <row r="9" spans="2:6">
      <c r="B9" s="7" t="s">
        <v>119</v>
      </c>
      <c r="C9" s="7" t="s">
        <v>120</v>
      </c>
      <c r="D9" s="7">
        <v>3</v>
      </c>
      <c r="E9" s="16">
        <v>1</v>
      </c>
      <c r="F9" s="7">
        <v>2</v>
      </c>
    </row>
    <row r="10" spans="2:6">
      <c r="B10" s="7" t="s">
        <v>121</v>
      </c>
      <c r="C10" s="7" t="s">
        <v>122</v>
      </c>
      <c r="D10" s="7">
        <v>1</v>
      </c>
      <c r="E10" s="16">
        <v>0</v>
      </c>
      <c r="F10" s="7">
        <v>5</v>
      </c>
    </row>
    <row r="11" spans="2:6">
      <c r="B11" s="7" t="s">
        <v>123</v>
      </c>
      <c r="C11" s="7" t="s">
        <v>124</v>
      </c>
      <c r="D11" s="7">
        <v>0</v>
      </c>
      <c r="E11" s="16">
        <v>1</v>
      </c>
      <c r="F11" s="7">
        <v>9</v>
      </c>
    </row>
    <row r="12" spans="2:6">
      <c r="B12" s="7" t="s">
        <v>125</v>
      </c>
      <c r="C12" s="7" t="s">
        <v>126</v>
      </c>
      <c r="D12" s="7">
        <v>0</v>
      </c>
      <c r="E12" s="16">
        <v>1</v>
      </c>
      <c r="F12" s="7">
        <v>18</v>
      </c>
    </row>
    <row r="13" spans="2:6">
      <c r="B13" s="7" t="s">
        <v>127</v>
      </c>
      <c r="C13" s="7" t="s">
        <v>128</v>
      </c>
      <c r="D13" s="7">
        <v>1</v>
      </c>
      <c r="E13" s="16">
        <v>0</v>
      </c>
      <c r="F13" s="7">
        <v>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5:F13"/>
  <sheetViews>
    <sheetView workbookViewId="0"/>
  </sheetViews>
  <sheetFormatPr defaultRowHeight="17"/>
  <sheetData>
    <row r="5" spans="2:6">
      <c r="B5" s="7" t="s">
        <v>108</v>
      </c>
      <c r="C5" s="7" t="s">
        <v>109</v>
      </c>
      <c r="D5" s="7" t="s">
        <v>110</v>
      </c>
      <c r="E5" s="7" t="s">
        <v>111</v>
      </c>
      <c r="F5" s="7" t="s">
        <v>112</v>
      </c>
    </row>
    <row r="6" spans="2:6">
      <c r="B6" s="7" t="s">
        <v>113</v>
      </c>
      <c r="C6" s="7" t="s">
        <v>114</v>
      </c>
      <c r="D6" s="7">
        <v>1</v>
      </c>
      <c r="E6" s="53">
        <v>0</v>
      </c>
      <c r="F6" s="7">
        <v>3</v>
      </c>
    </row>
    <row r="7" spans="2:6">
      <c r="B7" s="7" t="s">
        <v>115</v>
      </c>
      <c r="C7" s="7" t="s">
        <v>116</v>
      </c>
      <c r="D7" s="7">
        <v>0</v>
      </c>
      <c r="E7" s="53">
        <v>1</v>
      </c>
      <c r="F7" s="7">
        <v>1</v>
      </c>
    </row>
    <row r="8" spans="2:6">
      <c r="B8" s="7" t="s">
        <v>117</v>
      </c>
      <c r="C8" s="7" t="s">
        <v>118</v>
      </c>
      <c r="D8" s="7">
        <v>2</v>
      </c>
      <c r="E8" s="53">
        <v>1</v>
      </c>
      <c r="F8" s="7">
        <v>0</v>
      </c>
    </row>
    <row r="9" spans="2:6">
      <c r="B9" s="7" t="s">
        <v>119</v>
      </c>
      <c r="C9" s="7" t="s">
        <v>120</v>
      </c>
      <c r="D9" s="7">
        <v>3</v>
      </c>
      <c r="E9" s="53">
        <v>1</v>
      </c>
      <c r="F9" s="7">
        <v>2</v>
      </c>
    </row>
    <row r="10" spans="2:6">
      <c r="B10" s="7" t="s">
        <v>121</v>
      </c>
      <c r="C10" s="7" t="s">
        <v>122</v>
      </c>
      <c r="D10" s="7">
        <v>1</v>
      </c>
      <c r="E10" s="53">
        <v>0</v>
      </c>
      <c r="F10" s="7">
        <v>5</v>
      </c>
    </row>
    <row r="11" spans="2:6">
      <c r="B11" s="7" t="s">
        <v>123</v>
      </c>
      <c r="C11" s="7" t="s">
        <v>124</v>
      </c>
      <c r="D11" s="7">
        <v>0</v>
      </c>
      <c r="E11" s="53">
        <v>1</v>
      </c>
      <c r="F11" s="7">
        <v>9</v>
      </c>
    </row>
    <row r="12" spans="2:6">
      <c r="B12" s="7" t="s">
        <v>125</v>
      </c>
      <c r="C12" s="7" t="s">
        <v>126</v>
      </c>
      <c r="D12" s="7">
        <v>0</v>
      </c>
      <c r="E12" s="53">
        <v>1</v>
      </c>
      <c r="F12" s="7">
        <v>18</v>
      </c>
    </row>
    <row r="13" spans="2:6">
      <c r="B13" s="7" t="s">
        <v>127</v>
      </c>
      <c r="C13" s="7" t="s">
        <v>128</v>
      </c>
      <c r="D13" s="7">
        <v>1</v>
      </c>
      <c r="E13" s="53">
        <v>0</v>
      </c>
      <c r="F13" s="7">
        <v>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서식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H12"/>
  <sheetViews>
    <sheetView workbookViewId="0"/>
  </sheetViews>
  <sheetFormatPr defaultRowHeight="17"/>
  <cols>
    <col min="2" max="4" width="11.6640625" customWidth="1"/>
  </cols>
  <sheetData>
    <row r="1" spans="2:8" ht="21">
      <c r="B1" s="55" t="s">
        <v>37</v>
      </c>
      <c r="C1" s="55"/>
      <c r="D1" s="55"/>
    </row>
    <row r="2" spans="2:8">
      <c r="B2" s="9"/>
      <c r="C2" s="9"/>
      <c r="D2" s="9"/>
    </row>
    <row r="3" spans="2:8" ht="17.5" thickBot="1">
      <c r="B3" s="10" t="s">
        <v>38</v>
      </c>
      <c r="C3" s="10" t="s">
        <v>39</v>
      </c>
      <c r="D3" s="11" t="s">
        <v>40</v>
      </c>
      <c r="H3" s="12" t="s">
        <v>41</v>
      </c>
    </row>
    <row r="4" spans="2:8" ht="17.5" thickTop="1">
      <c r="B4" s="13"/>
      <c r="C4" s="14"/>
      <c r="D4" s="15"/>
      <c r="H4" s="12" t="s">
        <v>42</v>
      </c>
    </row>
    <row r="5" spans="2:8">
      <c r="B5" s="16"/>
      <c r="C5" s="17"/>
      <c r="D5" s="18"/>
      <c r="H5" s="12" t="s">
        <v>43</v>
      </c>
    </row>
    <row r="6" spans="2:8">
      <c r="B6" s="16"/>
      <c r="C6" s="17"/>
      <c r="D6" s="18"/>
      <c r="H6" s="12" t="s">
        <v>44</v>
      </c>
    </row>
    <row r="7" spans="2:8">
      <c r="B7" s="16"/>
      <c r="C7" s="17"/>
      <c r="D7" s="18"/>
      <c r="H7" s="12" t="s">
        <v>45</v>
      </c>
    </row>
    <row r="8" spans="2:8">
      <c r="B8" s="16"/>
      <c r="C8" s="17"/>
      <c r="D8" s="18"/>
    </row>
    <row r="9" spans="2:8">
      <c r="B9" s="7"/>
      <c r="C9" s="7"/>
      <c r="D9" s="18"/>
    </row>
    <row r="10" spans="2:8">
      <c r="B10" s="7"/>
      <c r="C10" s="7"/>
      <c r="D10" s="18"/>
    </row>
    <row r="11" spans="2:8">
      <c r="B11" s="7"/>
      <c r="C11" s="7"/>
      <c r="D11" s="18"/>
    </row>
    <row r="12" spans="2:8">
      <c r="B12" s="7"/>
      <c r="C12" s="7"/>
      <c r="D12" s="18"/>
    </row>
  </sheetData>
  <mergeCells count="1">
    <mergeCell ref="B1:D1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사원입력">
          <controlPr defaultSize="0" autoLine="0" r:id="rId4">
            <anchor moveWithCells="1">
              <from>
                <xdr:col>4</xdr:col>
                <xdr:colOff>304800</xdr:colOff>
                <xdr:row>2</xdr:row>
                <xdr:rowOff>0</xdr:rowOff>
              </from>
              <to>
                <xdr:col>6</xdr:col>
                <xdr:colOff>514350</xdr:colOff>
                <xdr:row>4</xdr:row>
                <xdr:rowOff>6350</xdr:rowOff>
              </to>
            </anchor>
          </controlPr>
        </control>
      </mc:Choice>
      <mc:Fallback>
        <control shapeId="3073" r:id="rId3" name="cmd사원입력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6"/>
  <sheetViews>
    <sheetView workbookViewId="0"/>
  </sheetViews>
  <sheetFormatPr defaultRowHeight="17"/>
  <cols>
    <col min="11" max="11" width="10.1640625" bestFit="1" customWidth="1"/>
  </cols>
  <sheetData>
    <row r="1" spans="1:11">
      <c r="A1" s="19" t="s">
        <v>46</v>
      </c>
      <c r="B1" s="20"/>
      <c r="C1" s="20"/>
      <c r="D1" s="21"/>
      <c r="E1" s="19"/>
      <c r="F1" s="19"/>
    </row>
    <row r="2" spans="1:11" ht="17.5" thickBot="1">
      <c r="A2" s="22" t="s">
        <v>47</v>
      </c>
      <c r="B2" s="22" t="s">
        <v>48</v>
      </c>
      <c r="C2" s="22" t="s">
        <v>49</v>
      </c>
      <c r="D2" s="22" t="s">
        <v>50</v>
      </c>
      <c r="E2" s="22" t="s">
        <v>51</v>
      </c>
      <c r="F2" s="23" t="s">
        <v>52</v>
      </c>
    </row>
    <row r="3" spans="1:11" ht="17.5" thickTop="1">
      <c r="A3" s="24"/>
      <c r="B3" s="24"/>
      <c r="C3" s="24"/>
      <c r="D3" s="24"/>
      <c r="E3" s="24"/>
      <c r="F3" s="25"/>
    </row>
    <row r="4" spans="1:11">
      <c r="A4" s="26"/>
      <c r="B4" s="26"/>
      <c r="C4" s="26"/>
      <c r="D4" s="26"/>
      <c r="E4" s="26"/>
      <c r="F4" s="27"/>
    </row>
    <row r="5" spans="1:11" ht="17.5" thickBot="1">
      <c r="A5" s="26"/>
      <c r="B5" s="26"/>
      <c r="C5" s="26"/>
      <c r="D5" s="26"/>
      <c r="E5" s="26"/>
      <c r="F5" s="27"/>
      <c r="H5" s="28" t="s">
        <v>53</v>
      </c>
      <c r="I5" s="19"/>
      <c r="J5" s="19"/>
      <c r="K5" s="21"/>
    </row>
    <row r="6" spans="1:11" ht="17.5" thickTop="1">
      <c r="A6" s="26"/>
      <c r="B6" s="26"/>
      <c r="C6" s="26"/>
      <c r="D6" s="26"/>
      <c r="E6" s="26"/>
      <c r="F6" s="27"/>
      <c r="H6" s="29" t="s">
        <v>54</v>
      </c>
      <c r="I6" s="30" t="s">
        <v>55</v>
      </c>
      <c r="J6" s="30" t="s">
        <v>51</v>
      </c>
      <c r="K6" s="31" t="s">
        <v>56</v>
      </c>
    </row>
    <row r="7" spans="1:11">
      <c r="A7" s="26"/>
      <c r="B7" s="26"/>
      <c r="C7" s="26"/>
      <c r="D7" s="26"/>
      <c r="E7" s="26"/>
      <c r="F7" s="27"/>
      <c r="H7" s="32" t="s">
        <v>57</v>
      </c>
      <c r="I7" s="33" t="s">
        <v>58</v>
      </c>
      <c r="J7" s="33" t="s">
        <v>59</v>
      </c>
      <c r="K7" s="34">
        <v>100000</v>
      </c>
    </row>
    <row r="8" spans="1:11">
      <c r="A8" s="26"/>
      <c r="B8" s="26"/>
      <c r="C8" s="26"/>
      <c r="D8" s="26"/>
      <c r="E8" s="26"/>
      <c r="F8" s="27"/>
      <c r="H8" s="32" t="s">
        <v>60</v>
      </c>
      <c r="I8" s="33" t="s">
        <v>61</v>
      </c>
      <c r="J8" s="26" t="s">
        <v>62</v>
      </c>
      <c r="K8" s="34">
        <v>110000</v>
      </c>
    </row>
    <row r="9" spans="1:11">
      <c r="A9" s="26"/>
      <c r="B9" s="26"/>
      <c r="C9" s="26"/>
      <c r="D9" s="26"/>
      <c r="E9" s="26"/>
      <c r="F9" s="27"/>
      <c r="H9" s="32" t="s">
        <v>63</v>
      </c>
      <c r="I9" s="33" t="s">
        <v>64</v>
      </c>
      <c r="J9" s="33" t="s">
        <v>65</v>
      </c>
      <c r="K9" s="34">
        <v>100000</v>
      </c>
    </row>
    <row r="10" spans="1:11">
      <c r="A10" s="26"/>
      <c r="B10" s="26"/>
      <c r="C10" s="26"/>
      <c r="D10" s="26"/>
      <c r="E10" s="26"/>
      <c r="F10" s="27"/>
      <c r="H10" s="32" t="s">
        <v>66</v>
      </c>
      <c r="I10" s="33" t="s">
        <v>67</v>
      </c>
      <c r="J10" s="33" t="s">
        <v>68</v>
      </c>
      <c r="K10" s="34">
        <v>100000</v>
      </c>
    </row>
    <row r="11" spans="1:11">
      <c r="A11" s="26"/>
      <c r="B11" s="26"/>
      <c r="C11" s="26"/>
      <c r="D11" s="26"/>
      <c r="E11" s="26"/>
      <c r="F11" s="27"/>
      <c r="H11" s="32" t="s">
        <v>69</v>
      </c>
      <c r="I11" s="33" t="s">
        <v>70</v>
      </c>
      <c r="J11" s="26" t="s">
        <v>71</v>
      </c>
      <c r="K11" s="34">
        <v>120000</v>
      </c>
    </row>
    <row r="12" spans="1:11">
      <c r="A12" s="26"/>
      <c r="B12" s="26"/>
      <c r="C12" s="26"/>
      <c r="D12" s="26"/>
      <c r="E12" s="26"/>
      <c r="F12" s="27"/>
      <c r="H12" s="32" t="s">
        <v>72</v>
      </c>
      <c r="I12" s="35" t="s">
        <v>73</v>
      </c>
      <c r="J12" s="36" t="s">
        <v>74</v>
      </c>
      <c r="K12" s="34">
        <v>120000</v>
      </c>
    </row>
    <row r="13" spans="1:11">
      <c r="A13" s="26"/>
      <c r="B13" s="26"/>
      <c r="C13" s="26"/>
      <c r="D13" s="26"/>
      <c r="E13" s="26"/>
      <c r="F13" s="27"/>
      <c r="H13" s="32" t="s">
        <v>75</v>
      </c>
      <c r="I13" s="33" t="s">
        <v>76</v>
      </c>
      <c r="J13" s="26" t="s">
        <v>77</v>
      </c>
      <c r="K13" s="34">
        <v>110000</v>
      </c>
    </row>
    <row r="14" spans="1:11">
      <c r="A14" s="26"/>
      <c r="B14" s="26"/>
      <c r="C14" s="26"/>
      <c r="D14" s="26"/>
      <c r="E14" s="26"/>
      <c r="F14" s="27"/>
      <c r="H14" s="32" t="s">
        <v>78</v>
      </c>
      <c r="I14" s="33" t="s">
        <v>79</v>
      </c>
      <c r="J14" s="26" t="s">
        <v>80</v>
      </c>
      <c r="K14" s="34">
        <v>100000</v>
      </c>
    </row>
    <row r="15" spans="1:11" ht="17.5" thickBot="1">
      <c r="A15" s="26"/>
      <c r="B15" s="26"/>
      <c r="C15" s="26"/>
      <c r="D15" s="26"/>
      <c r="E15" s="26"/>
      <c r="F15" s="27"/>
      <c r="H15" s="37" t="s">
        <v>81</v>
      </c>
      <c r="I15" s="38" t="s">
        <v>82</v>
      </c>
      <c r="J15" s="39" t="s">
        <v>83</v>
      </c>
      <c r="K15" s="40">
        <v>100000</v>
      </c>
    </row>
    <row r="16" spans="1:11" ht="17.5" thickTop="1"/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수강등록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3" name="cmd수강등록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7"/>
  <sheetViews>
    <sheetView workbookViewId="0"/>
  </sheetViews>
  <sheetFormatPr defaultRowHeight="17"/>
  <cols>
    <col min="1" max="1" width="15.9140625" bestFit="1" customWidth="1"/>
    <col min="3" max="3" width="11.6640625" bestFit="1" customWidth="1"/>
    <col min="4" max="4" width="9.6640625" bestFit="1" customWidth="1"/>
  </cols>
  <sheetData>
    <row r="1" spans="1:4" ht="17.5" thickBot="1">
      <c r="A1" s="19"/>
      <c r="B1" s="19"/>
      <c r="C1" s="19"/>
      <c r="D1" s="19"/>
    </row>
    <row r="2" spans="1:4" ht="17.5" thickBot="1">
      <c r="A2" s="41" t="s">
        <v>84</v>
      </c>
      <c r="B2" s="41" t="s">
        <v>85</v>
      </c>
      <c r="C2" s="41" t="s">
        <v>86</v>
      </c>
      <c r="D2" s="42" t="s">
        <v>87</v>
      </c>
    </row>
    <row r="3" spans="1:4">
      <c r="A3" s="43" t="s">
        <v>88</v>
      </c>
      <c r="B3" s="43">
        <v>785720</v>
      </c>
      <c r="C3" s="43">
        <v>28285904</v>
      </c>
      <c r="D3" s="44">
        <v>1714096</v>
      </c>
    </row>
    <row r="4" spans="1:4">
      <c r="A4" s="45" t="s">
        <v>89</v>
      </c>
      <c r="B4" s="45">
        <v>779908</v>
      </c>
      <c r="C4" s="45">
        <v>28076678</v>
      </c>
      <c r="D4" s="46">
        <v>1923322</v>
      </c>
    </row>
    <row r="5" spans="1:4">
      <c r="A5" s="45" t="s">
        <v>90</v>
      </c>
      <c r="B5" s="45">
        <v>774127</v>
      </c>
      <c r="C5" s="45">
        <v>27868569</v>
      </c>
      <c r="D5" s="46">
        <v>2131431</v>
      </c>
    </row>
    <row r="6" spans="1:4">
      <c r="A6" s="45" t="s">
        <v>91</v>
      </c>
      <c r="B6" s="45">
        <v>768378</v>
      </c>
      <c r="C6" s="45">
        <v>27661574</v>
      </c>
      <c r="D6" s="46">
        <v>2338426</v>
      </c>
    </row>
    <row r="7" spans="1:4" ht="17.5" thickBot="1">
      <c r="A7" s="47" t="s">
        <v>92</v>
      </c>
      <c r="B7" s="47">
        <v>762659</v>
      </c>
      <c r="C7" s="47">
        <v>27455692</v>
      </c>
      <c r="D7" s="48">
        <v>2544308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조회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1" r:id="rId3" name="cmd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차트1</vt:lpstr>
      <vt:lpstr>차트1(결과)</vt:lpstr>
      <vt:lpstr>차트2</vt:lpstr>
      <vt:lpstr>차트2(결과)</vt:lpstr>
      <vt:lpstr>매크로1</vt:lpstr>
      <vt:lpstr>매크로1(결과)</vt:lpstr>
      <vt:lpstr>매크로2</vt:lpstr>
      <vt:lpstr>매크로2(결과)</vt:lpstr>
      <vt:lpstr>사원현황</vt:lpstr>
      <vt:lpstr>수강등록</vt:lpstr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2020-05-10T11:26:24Z</dcterms:created>
  <dcterms:modified xsi:type="dcterms:W3CDTF">2020-08-26T07:43:33Z</dcterms:modified>
</cp:coreProperties>
</file>